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68f0a5766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908df282e646a8"/>
    <x:sheet xmlns:r="http://schemas.openxmlformats.org/officeDocument/2006/relationships" name="Prospect Scoring" sheetId="2" r:id="Re46dfedff6654ac0"/>
    <x:sheet xmlns:r="http://schemas.openxmlformats.org/officeDocument/2006/relationships" name="Campaign List" sheetId="3" r:id="R5189f3409ac74162"/>
    <x:sheet xmlns:r="http://schemas.openxmlformats.org/officeDocument/2006/relationships" name="Raw Prospect Data" sheetId="4" r:id="R4530b365bd6a414e"/>
    <x:sheet xmlns:r="http://schemas.openxmlformats.org/officeDocument/2006/relationships" name="Dedupe Log" sheetId="5" r:id="Rb08f02651b7c4b4a"/>
    <x:sheet xmlns:r="http://schemas.openxmlformats.org/officeDocument/2006/relationships" name="Rules and Assumptions" sheetId="6" r:id="Rf28c20fa5a6244f0"/>
    <x:sheet xmlns:r="http://schemas.openxmlformats.org/officeDocument/2006/relationships" name="CRM Field Map" sheetId="7" r:id="R92b25cb846d846c5"/>
  </x:sheets>
</x:workbook>
</file>

<file path=xl/comments1.xml><?xml version="1.0" encoding="utf-8"?>
<x:comments xmlns:x="http://schemas.openxmlformats.org/spreadsheetml/2006/main">
  <x:authors>
    <x:author>tc={9321A4EC-F6AD-E70D-EB66-102BEE3626F1}</x:author>
  </x:authors>
  <x:commentList>
    <x:comment ref="A4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EPA source page: https://www.epa.gov/ghgreporting/data-sets</x:t>
        </x:r>
      </x:text>
    </x:comment>
  </x:commentList>
</x:comments>
</file>

<file path=xl/comments2.xml><?xml version="1.0" encoding="utf-8"?>
<x:comments xmlns:x="http://schemas.openxmlformats.org/spreadsheetml/2006/main">
  <x:authors>
    <x:author>tc={4DCF12EC-E03B-9175-27EE-D0FCB1063BA8}</x:author>
  </x:authors>
  <x:commentList>
    <x:comment ref="B3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Downloaded source: EPA GHGRP 2023 Data Summary Spreadsheets.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6"/>
      <x:name val="Carlito"/>
    </x:font>
    <x:font>
      <x:b/>
      <x:sz val="10"/>
      <x:color rgb="FFFFFFFF"/>
      <x:name val="Carlito"/>
    </x:font>
    <x:font>
      <x:sz val="11"/>
      <x:color rgb="FF1F2933"/>
      <x:name val="Carlito"/>
    </x:font>
    <x:font>
      <x:b/>
      <x:sz val="11"/>
      <x:color rgb="FF15324A"/>
      <x:name val="Carlito"/>
    </x:font>
    <x:font>
      <x:sz val="10"/>
      <x:name val="Carlito"/>
    </x:font>
    <x:font>
      <x:sz val="9"/>
      <x:color rgb="FF1F2933"/>
      <x:name val="Carlito"/>
    </x:font>
    <x:font>
      <x:sz val="9"/>
      <x:name val="Carlito"/>
    </x:font>
    <x:font>
      <x:b/>
      <x:sz val="10"/>
      <x:color rgb="FF15324A"/>
      <x:name val="Carlito"/>
    </x:font>
    <x:font>
      <x:b/>
      <x:sz val="22"/>
      <x:color rgb="FF15324A"/>
      <x:name val="Carlito"/>
    </x:font>
    <x:font>
      <x:sz val="10"/>
      <x:color rgb="FF1F29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FFF4D6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</x:fills>
  <x:borders count="12">
    <x:border/>
    <x:border>
      <x:bottom style="medium">
        <x:color rgb="FF15324A"/>
      </x:bottom>
    </x:border>
    <x:border>
      <x:bottom style="thin">
        <x:color rgb="FF1F4E78"/>
      </x:bottom>
    </x:border>
    <x:border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top style="thin">
        <x:color rgb="FFE7EBEF"/>
      </x:top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bottom style="thin">
        <x:color rgb="FFE7EBEF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0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3" borderId="0" xfId="0" applyNumberFormat="1" applyFont="1" applyFill="1" applyBorder="1"/>
    <x:xf numFmtId="200" fontId="7" fillId="0" borderId="0" xfId="0" applyNumberFormat="1" applyFont="1" applyFill="1" applyBorder="1"/>
    <x:xf numFmtId="200" fontId="7" fillId="3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201" fontId="7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200" fontId="7" fillId="3" borderId="0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9" fillId="6" borderId="0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6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8" xfId="0" applyNumberFormat="1" applyFont="1" applyFill="1" applyBorder="1"/>
    <x:xf numFmtId="0" fontId="10" fillId="7" borderId="9" xfId="0" applyNumberFormat="1" applyFont="1" applyFill="1" applyBorder="1"/>
    <x:xf numFmtId="0" fontId="10" fillId="7" borderId="10" xfId="0" applyNumberFormat="1" applyFont="1" applyFill="1" applyBorder="1"/>
    <x:xf numFmtId="0" fontId="10" fillId="7" borderId="11" xfId="0" applyNumberFormat="1" applyFont="1" applyFill="1" applyBorder="1"/>
    <x:xf numFmtId="201" fontId="10" fillId="7" borderId="8" xfId="0" applyNumberFormat="1" applyFont="1" applyFill="1" applyBorder="1"/>
    <x:xf numFmtId="201" fontId="10" fillId="7" borderId="9" xfId="0" applyNumberFormat="1" applyFont="1" applyFill="1" applyBorder="1"/>
    <x:xf numFmtId="201" fontId="10" fillId="7" borderId="10" xfId="0" applyNumberFormat="1" applyFont="1" applyFill="1" applyBorder="1"/>
    <x:xf numFmtId="201" fontId="10" fillId="7" borderId="11" xfId="0" applyNumberFormat="1" applyFont="1" applyFill="1" applyBorder="1"/>
    <x:xf numFmtId="201" fontId="10" fillId="7" borderId="8" xfId="0" applyNumberFormat="1" applyFont="1" applyFill="1" applyBorder="1" applyAlignment="1">
      <x:alignment horizontal="center"/>
    </x:xf>
    <x:xf numFmtId="201" fontId="10" fillId="7" borderId="9" xfId="0" applyNumberFormat="1" applyFont="1" applyFill="1" applyBorder="1" applyAlignment="1">
      <x:alignment horizontal="center"/>
    </x:xf>
    <x:xf numFmtId="201" fontId="10" fillId="7" borderId="10" xfId="0" applyNumberFormat="1" applyFont="1" applyFill="1" applyBorder="1" applyAlignment="1">
      <x:alignment horizontal="center"/>
    </x:xf>
    <x:xf numFmtId="201" fontId="10" fillId="7" borderId="11" xfId="0" applyNumberFormat="1" applyFont="1" applyFill="1" applyBorder="1" applyAlignment="1">
      <x:alignment horizontal="center"/>
    </x:xf>
    <x:xf numFmtId="201" fontId="10" fillId="7" borderId="8" xfId="0" applyNumberFormat="1" applyFont="1" applyFill="1" applyBorder="1" applyAlignment="1">
      <x:alignment horizontal="center" vertical="center"/>
    </x:xf>
    <x:xf numFmtId="201" fontId="10" fillId="7" borderId="9" xfId="0" applyNumberFormat="1" applyFont="1" applyFill="1" applyBorder="1" applyAlignment="1">
      <x:alignment horizontal="center" vertical="center"/>
    </x:xf>
    <x:xf numFmtId="201" fontId="10" fillId="7" borderId="10" xfId="0" applyNumberFormat="1" applyFont="1" applyFill="1" applyBorder="1" applyAlignment="1">
      <x:alignment horizontal="center" vertical="center"/>
    </x:xf>
    <x:xf numFmtId="201" fontId="10" fillId="7" borderId="1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6" xfId="0" applyNumberFormat="1" applyFont="1" applyFill="1" applyBorder="1"/>
    <x:xf numFmtId="0" fontId="9" fillId="8" borderId="7" xfId="0" applyNumberFormat="1" applyFont="1" applyFill="1" applyBorder="1"/>
    <x:xf numFmtId="0" fontId="9" fillId="8" borderId="6" xfId="0" applyNumberFormat="1" applyFont="1" applyFill="1" applyBorder="1" applyAlignment="1">
      <x:alignment horizontal="center"/>
    </x:xf>
    <x:xf numFmtId="0" fontId="9" fillId="8" borderId="7" xfId="0" applyNumberFormat="1" applyFont="1" applyFill="1" applyBorder="1" applyAlignment="1">
      <x:alignment horizontal="center"/>
    </x:xf>
    <x:xf numFmtId="0" fontId="9" fillId="8" borderId="6" xfId="0" applyNumberFormat="1" applyFont="1" applyFill="1" applyBorder="1" applyAlignment="1">
      <x:alignment horizontal="center" vertical="center"/>
    </x:xf>
    <x:xf numFmtId="0" fontId="9" fillId="8" borderId="7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6" xfId="0" applyNumberFormat="1" applyFont="1" applyFill="1" applyBorder="1" applyAlignment="1">
      <x:alignment horizontal="center"/>
    </x:xf>
    <x:xf numFmtId="0" fontId="9" fillId="5" borderId="7" xfId="0" applyNumberFormat="1" applyFont="1" applyFill="1" applyBorder="1" applyAlignment="1">
      <x:alignment horizontal="center"/>
    </x:xf>
    <x:xf numFmtId="0" fontId="9" fillId="5" borderId="6" xfId="0" applyNumberFormat="1" applyFont="1" applyFill="1" applyBorder="1" applyAlignment="1">
      <x:alignment horizontal="center" vertic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6" xfId="0" applyNumberFormat="1" applyFont="1" applyFill="1" applyBorder="1"/>
    <x:xf numFmtId="0" fontId="9" fillId="9" borderId="7" xfId="0" applyNumberFormat="1" applyFont="1" applyFill="1" applyBorder="1"/>
    <x:xf numFmtId="0" fontId="9" fillId="9" borderId="6" xfId="0" applyNumberFormat="1" applyFont="1" applyFill="1" applyBorder="1" applyAlignment="1">
      <x:alignment horizontal="center"/>
    </x:xf>
    <x:xf numFmtId="0" fontId="9" fillId="9" borderId="7" xfId="0" applyNumberFormat="1" applyFont="1" applyFill="1" applyBorder="1" applyAlignment="1">
      <x:alignment horizontal="center"/>
    </x:xf>
    <x:xf numFmtId="0" fontId="9" fillId="9" borderId="6" xfId="0" applyNumberFormat="1" applyFont="1" applyFill="1" applyBorder="1" applyAlignment="1">
      <x:alignment horizontal="center" vertical="center"/>
    </x:xf>
    <x:xf numFmtId="0" fontId="9" fillId="9" borderId="7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horizontal="center" vertical="top" wrapText="1"/>
    </x:xf>
    <x:xf numFmtId="0" fontId="8" fillId="0" borderId="5" xfId="0" applyNumberFormat="1" applyFont="1" applyFill="1" applyBorder="1" applyAlignment="1">
      <x:alignment horizontal="center" vertical="top" wrapText="1"/>
    </x:xf>
    <x:xf numFmtId="200" fontId="8" fillId="0" borderId="3" xfId="0" applyNumberFormat="1" applyFont="1" applyFill="1" applyBorder="1" applyAlignment="1">
      <x:alignment horizontal="center" vertical="top" wrapText="1"/>
    </x:xf>
    <x:xf numFmtId="200" fontId="8" fillId="0" borderId="4" xfId="0" applyNumberFormat="1" applyFont="1" applyFill="1" applyBorder="1" applyAlignment="1">
      <x:alignment horizontal="center" vertical="top" wrapText="1"/>
    </x:xf>
    <x:xf numFmtId="200" fontId="8" fillId="0" borderId="5" xfId="0" applyNumberFormat="1" applyFont="1" applyFill="1" applyBorder="1" applyAlignment="1">
      <x:alignment horizontal="center" vertical="top" wrapText="1"/>
    </x:xf>
    <x:xf numFmtId="200" fontId="8" fillId="0" borderId="3" xfId="0" applyNumberFormat="1" applyFont="1" applyFill="1" applyBorder="1" applyAlignment="1">
      <x:alignment vertical="top" wrapText="1"/>
    </x:xf>
    <x:xf numFmtId="200" fontId="8" fillId="0" borderId="4" xfId="0" applyNumberFormat="1" applyFont="1" applyFill="1" applyBorder="1" applyAlignment="1">
      <x:alignment vertical="top" wrapText="1"/>
    </x:xf>
    <x:xf numFmtId="200" fontId="8" fillId="0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E7D32"/>
      </x:font>
      <x:fill>
        <x:patternFill patternType="solid">
          <x:bgColor rgb="FFE6F4EA"/>
        </x:patternFill>
      </x:fill>
    </x:dxf>
    <x:dxf>
      <x:font>
        <x:color rgb="FFB26A00"/>
      </x:font>
      <x:fill>
        <x:patternFill patternType="solid">
          <x:bgColor rgb="FFFFF4D6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2E7D32"/>
      </x:font>
      <x:fill>
        <x:patternFill patternType="solid">
          <x:bgColor rgb="FFE6F4EA"/>
        </x:patternFill>
      </x:fill>
    </x:dxf>
    <x:dxf>
      <x:font>
        <x:b/>
        <x:color rgb="FFB26A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cd9a409274f1e" /><Relationship Type="http://schemas.openxmlformats.org/officeDocument/2006/relationships/theme" Target="/xl/theme/theme1.xml" Id="R0e934b0c95264341" /><Relationship Type="http://schemas.openxmlformats.org/officeDocument/2006/relationships/sharedStrings" Target="/xl/sharedStrings.xml" Id="Rf97616a134db4fd9" /><Relationship Type="http://schemas.openxmlformats.org/officeDocument/2006/relationships/worksheet" Target="/xl/worksheets/sheet1.xml" Id="R1a908df282e646a8" /><Relationship Type="http://schemas.openxmlformats.org/officeDocument/2006/relationships/worksheet" Target="/xl/worksheets/sheet2.xml" Id="Re46dfedff6654ac0" /><Relationship Type="http://schemas.openxmlformats.org/officeDocument/2006/relationships/worksheet" Target="/xl/worksheets/sheet3.xml" Id="R5189f3409ac74162" /><Relationship Type="http://schemas.openxmlformats.org/officeDocument/2006/relationships/worksheet" Target="/xl/worksheets/sheet4.xml" Id="R4530b365bd6a414e" /><Relationship Type="http://schemas.openxmlformats.org/officeDocument/2006/relationships/worksheet" Target="/xl/worksheets/sheet5.xml" Id="Rb08f02651b7c4b4a" /><Relationship Type="http://schemas.openxmlformats.org/officeDocument/2006/relationships/worksheet" Target="/xl/worksheets/sheet6.xml" Id="Rf28c20fa5a6244f0" /><Relationship Type="http://schemas.openxmlformats.org/officeDocument/2006/relationships/worksheet" Target="/xl/worksheets/sheet7.xml" Id="R92b25cb846d846c5" /><Relationship Type="http://schemas.microsoft.com/office/2017/10/relationships/person" Target="/xl/persons/person.xml" Id="R263f30b12aba42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5000f7b5b34ba6" /><Relationship Type="http://schemas.openxmlformats.org/officeDocument/2006/relationships/chart" Target="/xl/drawings/charts/chart2.xml" Id="Rae74f0af1da643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Prospects by Lead Priority</a:t>
            </a:r>
          </a:p>
        </c:rich>
      </c:tx>
    </c:title>
    <c:plotArea>
      <c:doughnutChart>
        <c:ser>
          <c:idx val="0"/>
          <c:order val="0"/>
          <c:tx>
            <c:v>Accounts</c:v>
          </c:tx>
          <c:cat>
            <c:strRef>
              <c:f>'Dashboard'!$J$5:$J$7</c:f>
              <c:strCache>
                <c:ptCount val="0"/>
              </c:strCache>
            </c:strRef>
          </c:cat>
          <c:val>
            <c:numRef>
              <c:f>'Dashboard'!$K$5:$K$7</c:f>
              <c:numCache>
                <c:formatCode>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High-Priority Accounts by State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High-Priority Accounts</c:v>
          </c:tx>
          <c:cat>
            <c:strRef>
              <c:f>'Dashboard'!$M$5:$M$10</c:f>
              <c:strCache>
                <c:ptCount val="0"/>
              </c:strCache>
            </c:strRef>
          </c:cat>
          <c:val>
            <c:numRef>
              <c:f>'Dashboard'!$N$5:$N$10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5000f7b5b34ba6"/>
        </a:graphicData>
      </a:graphic>
    </xdr:graphicFrame>
    <xdr:clientData/>
  </xdr:twoCellAnchor>
  <xdr:twoCellAnchor>
    <xdr:from>
      <xdr:col>4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74f0af1da643b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Lingxuan Gao" id="{94C4B0ED-3C51-4F73-90D0-3B4CCD0F3DEF}"/>
</xltc:personList>
</file>

<file path=xl/tables/table1.xml><?xml version="1.0" encoding="utf-8"?>
<x:table xmlns:x="http://schemas.openxmlformats.org/spreadsheetml/2006/main" id="1" name="ProspectScoringTable" displayName="ProspectScoringTable" ref="A4:AD164" headerRowCount="1" totalsRowCount="0" totalsRowShown="0">
  <x:tableColumns count="30">
    <x:tableColumn id="1" name="Prospect ID"/>
    <x:tableColumn id="2" name="External ID"/>
    <x:tableColumn id="3" name="Account Name"/>
    <x:tableColumn id="4" name="Parent Company"/>
    <x:tableColumn id="5" name="Industry Sector"/>
    <x:tableColumn id="6" name="NAICS"/>
    <x:tableColumn id="7" name="City"/>
    <x:tableColumn id="8" name="State"/>
    <x:tableColumn id="9" name="ZIP"/>
    <x:tableColumn id="10" name="Emissions (mtCO2e)"/>
    <x:tableColumn id="11" name="Operational Scale"/>
    <x:tableColumn id="12" name="Target Decision-Maker Role"/>
    <x:tableColumn id="13" name="Secondary Role"/>
    <x:tableColumn id="14" name="Contact Research Status"/>
    <x:tableColumn id="15" name="Campaign Segment"/>
    <x:tableColumn id="16" name="Suggested Owner"/>
    <x:tableColumn id="17" name="Source URL"/>
    <x:tableColumn id="18" name="Source Record ID"/>
    <x:tableColumn id="19" name="State Pts"/>
    <x:tableColumn id="20" name="Sector Pts"/>
    <x:tableColumn id="21" name="Scale Pts"/>
    <x:tableColumn id="22" name="Data Quality Pts"/>
    <x:tableColumn id="23" name="Viability Pts"/>
    <x:tableColumn id="24" name="Lead Score"/>
    <x:tableColumn id="25" name="Lead Rank"/>
    <x:tableColumn id="26" name="Lead Priority"/>
    <x:tableColumn id="27" name="Duplicate Key"/>
    <x:tableColumn id="28" name="Duplicate Flag"/>
    <x:tableColumn id="29" name="Qualification Notes"/>
    <x:tableColumn id="30" name="Source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ghPriorityCampaignTable" displayName="HighPriorityCampaignTable" ref="A4:J34" headerRowCount="1" totalsRowCount="0" totalsRowShown="0">
  <x:tableColumns count="10">
    <x:tableColumn id="1" name="Rank"/>
    <x:tableColumn id="2" name="Prospect ID"/>
    <x:tableColumn id="3" name="Account Name"/>
    <x:tableColumn id="4" name="Parent Company"/>
    <x:tableColumn id="5" name="State"/>
    <x:tableColumn id="6" name="Industry Sector"/>
    <x:tableColumn id="7" name="Lead Score"/>
    <x:tableColumn id="8" name="Target Role"/>
    <x:tableColumn id="9" name="Campaign Segment"/>
    <x:tableColumn id="10" name="Suggested Owne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awProspectTable" displayName="RawProspectTable" ref="A4:N169" headerRowCount="1" totalsRowCount="0" totalsRowShown="0">
  <x:tableColumns count="14">
    <x:tableColumn id="1" name="Raw Record ID"/>
    <x:tableColumn id="2" name="External ID"/>
    <x:tableColumn id="3" name="Account Name"/>
    <x:tableColumn id="4" name="EPA Facility ID"/>
    <x:tableColumn id="5" name="Parent Company"/>
    <x:tableColumn id="6" name="Industry Sector"/>
    <x:tableColumn id="7" name="City"/>
    <x:tableColumn id="8" name="State"/>
    <x:tableColumn id="9" name="ZIP"/>
    <x:tableColumn id="10" name="Emissions (mtCO2e)"/>
    <x:tableColumn id="11" name="Synthetic Duplicate"/>
    <x:tableColumn id="12" name="Duplicate Scenario"/>
    <x:tableColumn id="13" name="Source URL"/>
    <x:tableColumn id="14" name="Research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dupeLogTable" displayName="DedupeLogTable" ref="A4:E9" headerRowCount="1" totalsRowCount="0" totalsRowShown="0">
  <x:tableColumns count="5">
    <x:tableColumn id="1" name="Action"/>
    <x:tableColumn id="2" name="External ID"/>
    <x:tableColumn id="3" name="EPA Facility ID"/>
    <x:tableColumn id="4" name="Duplicate Account Value"/>
    <x:tableColumn id="5" name="Scenario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1" dT="2026-07-30T22:49:46.306" personId="{94C4B0ED-3C51-4F73-90D0-3B4CCD0F3DEF}" id="{9321A4EC-F6AD-E70D-EB66-102BEE3626F1}">
    <xltc:text>EPA source page: https://www.epa.gov/ghgreporting/data-sets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30" dT="2026-07-30T22:49:46.308" personId="{94C4B0ED-3C51-4F73-90D0-3B4CCD0F3DEF}" id="{4DCF12EC-E03B-9175-27EE-D0FCB1063BA8}">
    <xltc:text>Downloaded source: EPA GHGRP 2023 Data Summary Spreadsheets.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bcfc2ac0ab348f7" /><Relationship Type="http://schemas.openxmlformats.org/officeDocument/2006/relationships/vmlDrawing" Target="/xl/drawings/vmldrawing.vml" Id="R8f86d27aed924aaa" /><Relationship Type="http://schemas.microsoft.com/office/2017/10/relationships/threadedComment" Target="/xl/threadedcomments/threadedcomment.xml" Id="R01b71c213921498f" /><Relationship Type="http://schemas.openxmlformats.org/officeDocument/2006/relationships/drawing" Target="/xl/drawings/drawing1.xml" Id="R7f9c098c601a46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cb46f620034f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61ef9d30f642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97cd44a0d745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e03985bbc24c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e63146447c854ec2" /><Relationship Type="http://schemas.openxmlformats.org/officeDocument/2006/relationships/vmlDrawing" Target="/xl/drawings/vmldrawing2.vml" Id="R7a32d5ef336f40b1" /><Relationship Type="http://schemas.microsoft.com/office/2017/10/relationships/threadedComment" Target="/xl/threadedcomments/threadedcomment2.xml" Id="R83595321e6ab4a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New England Sales Operations and CRM Prospecting Dashboard</x:v>
      </x:c>
      <x:c r="B1" s="3" t="str">
        <x:v>New England Sales Operations and CRM Prospecting Dashboard</x:v>
      </x:c>
      <x:c r="C1" s="3" t="str">
        <x:v>New England Sales Operations and CRM Prospecting Dashboard</x:v>
      </x:c>
      <x:c r="D1" s="3" t="str">
        <x:v>New England Sales Operations and CRM Prospecting Dashboard</x:v>
      </x:c>
      <x:c r="E1" s="3" t="str">
        <x:v>New England Sales Operations and CRM Prospecting Dashboard</x:v>
      </x:c>
      <x:c r="F1" s="3" t="str">
        <x:v>New England Sales Operations and CRM Prospecting Dashboard</x:v>
      </x:c>
      <x:c r="G1" s="3" t="str">
        <x:v>New England Sales Operations and CRM Prospecting Dashboard</x:v>
      </x:c>
      <x:c r="H1" s="3" t="str">
        <x:v>New England Sales Operations and CRM Prospecting Dashboard</x:v>
      </x:c>
    </x:row>
    <x:row r="2" ht="28" customHeight="1">
      <x:c r="A2" s="7" t="str">
        <x:v>Source-backed portfolio project using EPA GHGRP 2023 facility data. Dashboard results update from the formula-driven prospect model.</x:v>
      </x:c>
      <x:c r="B2" s="7" t="str">
        <x:v>Source-backed portfolio project using EPA GHGRP 2023 facility data. Dashboard results update from the formula-driven prospect model.</x:v>
      </x:c>
      <x:c r="C2" s="7" t="str">
        <x:v>Source-backed portfolio project using EPA GHGRP 2023 facility data. Dashboard results update from the formula-driven prospect model.</x:v>
      </x:c>
      <x:c r="D2" s="7" t="str">
        <x:v>Source-backed portfolio project using EPA GHGRP 2023 facility data. Dashboard results update from the formula-driven prospect model.</x:v>
      </x:c>
      <x:c r="E2" s="7" t="str">
        <x:v>Source-backed portfolio project using EPA GHGRP 2023 facility data. Dashboard results update from the formula-driven prospect model.</x:v>
      </x:c>
      <x:c r="F2" s="7" t="str">
        <x:v>Source-backed portfolio project using EPA GHGRP 2023 facility data. Dashboard results update from the formula-driven prospect model.</x:v>
      </x:c>
      <x:c r="G2" s="7" t="str">
        <x:v>Source-backed portfolio project using EPA GHGRP 2023 facility data. Dashboard results update from the formula-driven prospect model.</x:v>
      </x:c>
      <x:c r="H2" s="7" t="str">
        <x:v>Source-backed portfolio project using EPA GHGRP 2023 facility data. Dashboard results update from the formula-driven prospect model.</x:v>
      </x:c>
    </x:row>
    <x:row r="4" ht="32" customHeight="1">
      <x:c r="A4" s="62" t="str">
        <x:v>Accounts Researched</x:v>
      </x:c>
      <x:c r="B4" s="63" t="str">
        <x:v>Accounts Researched</x:v>
      </x:c>
      <x:c r="C4" s="88" t="str">
        <x:v>High Priority</x:v>
      </x:c>
      <x:c r="D4" s="89" t="str">
        <x:v>High Priority</x:v>
      </x:c>
      <x:c r="E4" s="95" t="str">
        <x:v>States Covered</x:v>
      </x:c>
      <x:c r="F4" s="96" t="str">
        <x:v>States Covered</x:v>
      </x:c>
      <x:c r="G4" s="103" t="str">
        <x:v>Duplicates Removed</x:v>
      </x:c>
      <x:c r="H4" s="104" t="str">
        <x:v>Duplicates Removed</x:v>
      </x:c>
      <x:c r="J4" s="13" t="str">
        <x:v>Priority</x:v>
      </x:c>
      <x:c r="K4" s="13" t="str">
        <x:v>Accounts</x:v>
      </x:c>
      <x:c r="M4" s="13" t="str">
        <x:v>State</x:v>
      </x:c>
      <x:c r="N4" s="13" t="str">
        <x:v>High-Priority Accounts</x:v>
      </x:c>
    </x:row>
    <x:row r="5">
      <x:c r="A5" s="78" t="n">
        <x:f>COUNTA('Prospect Scoring'!$A$5:$A$164)</x:f>
        <x:v>160</x:v>
      </x:c>
      <x:c r="B5" s="79"/>
      <x:c r="C5" s="78" t="n">
        <x:f>COUNTIF('Prospect Scoring'!$Z$5:$Z$164,"High")</x:f>
        <x:v>30</x:v>
      </x:c>
      <x:c r="D5" s="79"/>
      <x:c r="E5" s="78" t="n">
        <x:f>COUNTA('Rules and Assumptions'!$A$5:$A$10)</x:f>
        <x:v>6</x:v>
      </x:c>
      <x:c r="F5" s="79"/>
      <x:c r="G5" s="78" t="n">
        <x:f>COUNTA('Dedupe Log'!$B$5:$B$9)</x:f>
        <x:v>5</x:v>
      </x:c>
      <x:c r="H5" s="79"/>
      <x:c r="J5" t="str">
        <x:v>High</x:v>
      </x:c>
      <x:c r="K5" s="22" t="n">
        <x:f>COUNTIF('Prospect Scoring'!$Z$5:$Z$164,J5)</x:f>
        <x:v>30</x:v>
      </x:c>
      <x:c r="M5" t="str">
        <x:v>MA</x:v>
      </x:c>
      <x:c r="N5" s="22" t="n">
        <x:f>COUNTIFS('Prospect Scoring'!$H$5:$H$164,M5,'Prospect Scoring'!$Z$5:$Z$164,"High")</x:f>
        <x:v>18</x:v>
      </x:c>
    </x:row>
    <x:row r="6">
      <x:c r="A6" s="80"/>
      <x:c r="B6" s="81"/>
      <x:c r="C6" s="80"/>
      <x:c r="D6" s="81"/>
      <x:c r="E6" s="80"/>
      <x:c r="F6" s="81"/>
      <x:c r="G6" s="80"/>
      <x:c r="H6" s="81"/>
      <x:c r="J6" t="str">
        <x:v>Medium</x:v>
      </x:c>
      <x:c r="K6" s="22" t="n">
        <x:f>COUNTIF('Prospect Scoring'!$Z$5:$Z$164,J6)</x:f>
        <x:v>50</x:v>
      </x:c>
      <x:c r="M6" t="str">
        <x:v>CT</x:v>
      </x:c>
      <x:c r="N6" s="22" t="n">
        <x:f>COUNTIFS('Prospect Scoring'!$H$5:$H$164,M6,'Prospect Scoring'!$Z$5:$Z$164,"High")</x:f>
        <x:v>4</x:v>
      </x:c>
    </x:row>
    <x:row r="7">
      <x:c r="J7" t="str">
        <x:v>Low</x:v>
      </x:c>
      <x:c r="K7" s="22" t="n">
        <x:f>COUNTIF('Prospect Scoring'!$Z$5:$Z$164,J7)</x:f>
        <x:v>80</x:v>
      </x:c>
      <x:c r="M7" t="str">
        <x:v>RI</x:v>
      </x:c>
      <x:c r="N7" s="22" t="n">
        <x:f>COUNTIFS('Prospect Scoring'!$H$5:$H$164,M7,'Prospect Scoring'!$Z$5:$Z$164,"High")</x:f>
        <x:v>0</x:v>
      </x:c>
    </x:row>
    <x:row r="8">
      <x:c r="M8" t="str">
        <x:v>NH</x:v>
      </x:c>
      <x:c r="N8" s="22" t="n">
        <x:f>COUNTIFS('Prospect Scoring'!$H$5:$H$164,M8,'Prospect Scoring'!$Z$5:$Z$164,"High")</x:f>
        <x:v>3</x:v>
      </x:c>
    </x:row>
    <x:row r="9">
      <x:c r="M9" t="str">
        <x:v>VT</x:v>
      </x:c>
      <x:c r="N9" s="22" t="n">
        <x:f>COUNTIFS('Prospect Scoring'!$H$5:$H$164,M9,'Prospect Scoring'!$Z$5:$Z$164,"High")</x:f>
        <x:v>1</x:v>
      </x:c>
    </x:row>
    <x:row r="10">
      <x:c r="M10" t="str">
        <x:v>ME</x:v>
      </x:c>
      <x:c r="N10" s="22" t="n">
        <x:f>COUNTIFS('Prospect Scoring'!$H$5:$H$164,M10,'Prospect Scoring'!$Z$5:$Z$164,"High")</x:f>
        <x:v>4</x:v>
      </x:c>
    </x:row>
    <x:row r="24">
      <x:c r="A24" s="21" t="str">
        <x:v>Top 10 Recommended Accounts</x:v>
      </x:c>
      <x:c r="B24" s="21" t="str">
        <x:v>Top 10 Recommended Accounts</x:v>
      </x:c>
      <x:c r="C24" s="21" t="str">
        <x:v>Top 10 Recommended Accounts</x:v>
      </x:c>
      <x:c r="D24" s="21" t="str">
        <x:v>Top 10 Recommended Accounts</x:v>
      </x:c>
      <x:c r="E24" s="21" t="str">
        <x:v>Top 10 Recommended Accounts</x:v>
      </x:c>
      <x:c r="F24" s="21" t="str">
        <x:v>Top 10 Recommended Accounts</x:v>
      </x:c>
      <x:c r="G24" s="21" t="str">
        <x:v>Top 10 Recommended Accounts</x:v>
      </x:c>
      <x:c r="H24" s="21" t="str">
        <x:v>Top 10 Recommended Accounts</x:v>
      </x:c>
    </x:row>
    <x:row r="25" ht="32" customHeight="1">
      <x:c r="A25" s="13" t="str">
        <x:v>Rank</x:v>
      </x:c>
      <x:c r="B25" s="13" t="str">
        <x:v>Account</x:v>
      </x:c>
      <x:c r="C25" s="13" t="str">
        <x:v>Parent Company</x:v>
      </x:c>
      <x:c r="D25" s="13" t="str">
        <x:v>State</x:v>
      </x:c>
      <x:c r="E25" s="13" t="str">
        <x:v>Sector</x:v>
      </x:c>
      <x:c r="F25" s="13" t="str">
        <x:v>Score</x:v>
      </x:c>
      <x:c r="G25" s="13" t="str">
        <x:v>Target Role</x:v>
      </x:c>
      <x:c r="H25" s="13" t="str">
        <x:v>Owner</x:v>
      </x:c>
    </x:row>
    <x:row r="26" ht="34" customHeight="1">
      <x:c r="A26" s="117" t="n">
        <x:f>'Campaign List'!A5</x:f>
        <x:v>1</x:v>
      </x:c>
      <x:c r="B26" s="111" t="str">
        <x:f>'Campaign List'!C5</x:f>
        <x:v>ND Paper Inc - Rumford Division - Rumford, ME</x:v>
      </x:c>
      <x:c r="C26" s="111" t="str">
        <x:f>'Campaign List'!D5</x:f>
        <x:v>ND PAPER LLC</x:v>
      </x:c>
      <x:c r="D26" s="111" t="str">
        <x:f>'Campaign List'!E5</x:f>
        <x:v>ME</x:v>
      </x:c>
      <x:c r="E26" s="111" t="str">
        <x:f>'Campaign List'!F5</x:f>
        <x:v>Pulp and Paper</x:v>
      </x:c>
      <x:c r="F26" s="120" t="n">
        <x:f>'Campaign List'!G5</x:f>
        <x:v>87</x:v>
      </x:c>
      <x:c r="G26" s="111" t="str">
        <x:f>'Campaign List'!H5</x:f>
        <x:v>Energy Manager</x:v>
      </x:c>
      <x:c r="H26" s="111" t="str">
        <x:f>'Campaign List'!J5</x:f>
        <x:v>Sales Rep C - Northern New England</x:v>
      </x:c>
    </x:row>
    <x:row r="27" ht="34" customHeight="1">
      <x:c r="A27" s="118" t="n">
        <x:f>'Campaign List'!A6</x:f>
        <x:v>2</x:v>
      </x:c>
      <x:c r="B27" s="112" t="str">
        <x:f>'Campaign List'!C6</x:f>
        <x:v>Sappi North America, Inc. - Somerset Operations - Skowhegan, ME</x:v>
      </x:c>
      <x:c r="C27" s="112" t="str">
        <x:f>'Campaign List'!D6</x:f>
        <x:v>SAPPI NORTH AMERICA INC</x:v>
      </x:c>
      <x:c r="D27" s="112" t="str">
        <x:f>'Campaign List'!E6</x:f>
        <x:v>ME</x:v>
      </x:c>
      <x:c r="E27" s="112" t="str">
        <x:f>'Campaign List'!F6</x:f>
        <x:v>Pulp and Paper,Waste</x:v>
      </x:c>
      <x:c r="F27" s="121" t="n">
        <x:f>'Campaign List'!G6</x:f>
        <x:v>87</x:v>
      </x:c>
      <x:c r="G27" s="112" t="str">
        <x:f>'Campaign List'!H6</x:f>
        <x:v>Energy Manager</x:v>
      </x:c>
      <x:c r="H27" s="112" t="str">
        <x:f>'Campaign List'!J6</x:f>
        <x:v>Sales Rep C - Northern New England</x:v>
      </x:c>
    </x:row>
    <x:row r="28" ht="34" customHeight="1">
      <x:c r="A28" s="118" t="n">
        <x:f>'Campaign List'!A7</x:f>
        <x:v>3</x:v>
      </x:c>
      <x:c r="B28" s="112" t="str">
        <x:f>'Campaign List'!C7</x:f>
        <x:v>WOODLAND PULP LLC - Baileyville, ME</x:v>
      </x:c>
      <x:c r="C28" s="112" t="str">
        <x:f>'Campaign List'!D7</x:f>
        <x:v>INTERNATIONAL GRAND INVESTMENT CORP</x:v>
      </x:c>
      <x:c r="D28" s="112" t="str">
        <x:f>'Campaign List'!E7</x:f>
        <x:v>ME</x:v>
      </x:c>
      <x:c r="E28" s="112" t="str">
        <x:f>'Campaign List'!F7</x:f>
        <x:v>Pulp and Paper,Waste</x:v>
      </x:c>
      <x:c r="F28" s="121" t="n">
        <x:f>'Campaign List'!G7</x:f>
        <x:v>87</x:v>
      </x:c>
      <x:c r="G28" s="112" t="str">
        <x:f>'Campaign List'!H7</x:f>
        <x:v>Energy Manager</x:v>
      </x:c>
      <x:c r="H28" s="112" t="str">
        <x:f>'Campaign List'!J7</x:f>
        <x:v>Sales Rep C - Northern New England</x:v>
      </x:c>
    </x:row>
    <x:row r="29" ht="34" customHeight="1">
      <x:c r="A29" s="118" t="n">
        <x:f>'Campaign List'!A8</x:f>
        <x:v>4</x:v>
      </x:c>
      <x:c r="B29" s="112" t="str">
        <x:f>'Campaign List'!C8</x:f>
        <x:v>KIMBERLY-CLARK TISSUE MILL - New Milford, CT</x:v>
      </x:c>
      <x:c r="C29" s="112" t="str">
        <x:f>'Campaign List'!D8</x:f>
        <x:v>KIMBERLY-CLARK CORP</x:v>
      </x:c>
      <x:c r="D29" s="112" t="str">
        <x:f>'Campaign List'!E8</x:f>
        <x:v>CT</x:v>
      </x:c>
      <x:c r="E29" s="112" t="str">
        <x:f>'Campaign List'!F8</x:f>
        <x:v>Pulp and Paper</x:v>
      </x:c>
      <x:c r="F29" s="121" t="n">
        <x:f>'Campaign List'!G8</x:f>
        <x:v>86</x:v>
      </x:c>
      <x:c r="G29" s="112" t="str">
        <x:f>'Campaign List'!H8</x:f>
        <x:v>Energy Manager</x:v>
      </x:c>
      <x:c r="H29" s="112" t="str">
        <x:f>'Campaign List'!J8</x:f>
        <x:v>Sales Rep B - Connecticut/Rhode Island</x:v>
      </x:c>
    </x:row>
    <x:row r="30" ht="34" customHeight="1">
      <x:c r="A30" s="118" t="n">
        <x:f>'Campaign List'!A9</x:f>
        <x:v>5</x:v>
      </x:c>
      <x:c r="B30" s="112" t="str">
        <x:f>'Campaign List'!C9</x:f>
        <x:v>SPECIALTY MINERALS - Adams, MA</x:v>
      </x:c>
      <x:c r="C30" s="112" t="str">
        <x:f>'Campaign List'!D9</x:f>
        <x:v>MINERALS TECHNOLOGIES INC</x:v>
      </x:c>
      <x:c r="D30" s="112" t="str">
        <x:f>'Campaign List'!E9</x:f>
        <x:v>MA</x:v>
      </x:c>
      <x:c r="E30" s="112" t="str">
        <x:f>'Campaign List'!F9</x:f>
        <x:v>Minerals</x:v>
      </x:c>
      <x:c r="F30" s="121" t="n">
        <x:f>'Campaign List'!G9</x:f>
        <x:v>86</x:v>
      </x:c>
      <x:c r="G30" s="112" t="str">
        <x:f>'Campaign List'!H9</x:f>
        <x:v>Plant Manager</x:v>
      </x:c>
      <x:c r="H30" s="112" t="str">
        <x:f>'Campaign List'!J9</x:f>
        <x:v>Sales Rep A - Massachusetts</x:v>
      </x:c>
    </x:row>
    <x:row r="31" ht="34" customHeight="1">
      <x:c r="A31" s="118" t="n">
        <x:f>'Campaign List'!A10</x:f>
        <x:v>6</x:v>
      </x:c>
      <x:c r="B31" s="112" t="str">
        <x:f>'Campaign List'!C10</x:f>
        <x:v>SEMASS PARTNERSHIP RESOURCE RECOVERY FACILITY - Rochester, MA</x:v>
      </x:c>
      <x:c r="C31" s="112" t="str">
        <x:f>'Campaign List'!D10</x:f>
        <x:v>COVANTA HOLDING CORP</x:v>
      </x:c>
      <x:c r="D31" s="112" t="str">
        <x:f>'Campaign List'!E10</x:f>
        <x:v>MA</x:v>
      </x:c>
      <x:c r="E31" s="112" t="str">
        <x:f>'Campaign List'!F10</x:f>
        <x:v>Waste</x:v>
      </x:c>
      <x:c r="F31" s="121" t="n">
        <x:f>'Campaign List'!G10</x:f>
        <x:v>84</x:v>
      </x:c>
      <x:c r="G31" s="112" t="str">
        <x:f>'Campaign List'!H10</x:f>
        <x:v>Director of Operations</x:v>
      </x:c>
      <x:c r="H31" s="112" t="str">
        <x:f>'Campaign List'!J10</x:f>
        <x:v>Sales Rep A - Massachusetts</x:v>
      </x:c>
    </x:row>
    <x:row r="32" ht="34" customHeight="1">
      <x:c r="A32" s="118" t="n">
        <x:f>'Campaign List'!A11</x:f>
        <x:v>7</x:v>
      </x:c>
      <x:c r="B32" s="112" t="str">
        <x:f>'Campaign List'!C11</x:f>
        <x:v>MIT Central Utility Plant - Cambridge, MA</x:v>
      </x:c>
      <x:c r="C32" s="112" t="str">
        <x:f>'Campaign List'!D11</x:f>
        <x:v>MASSACHUSETTS INSTITUTE OF TECHNOLOGY</x:v>
      </x:c>
      <x:c r="D32" s="112" t="str">
        <x:f>'Campaign List'!E11</x:f>
        <x:v>MA</x:v>
      </x:c>
      <x:c r="E32" s="112" t="str">
        <x:f>'Campaign List'!F11</x:f>
        <x:v>Other</x:v>
      </x:c>
      <x:c r="F32" s="121" t="n">
        <x:f>'Campaign List'!G11</x:f>
        <x:v>82</x:v>
      </x:c>
      <x:c r="G32" s="112" t="str">
        <x:f>'Campaign List'!H11</x:f>
        <x:v>Director of Facilities</x:v>
      </x:c>
      <x:c r="H32" s="112" t="str">
        <x:f>'Campaign List'!J11</x:f>
        <x:v>Sales Rep A - Massachusetts</x:v>
      </x:c>
    </x:row>
    <x:row r="33" ht="34" customHeight="1">
      <x:c r="A33" s="118" t="n">
        <x:f>'Campaign List'!A12</x:f>
        <x:v>8</x:v>
      </x:c>
      <x:c r="B33" s="112" t="str">
        <x:f>'Campaign List'!C12</x:f>
        <x:v>UMASS PHYSICAL PLANT BUILDING - Amherst, MA</x:v>
      </x:c>
      <x:c r="C33" s="112" t="str">
        <x:f>'Campaign List'!D12</x:f>
        <x:v>UNIVERSITY OF MASSACHUSETTS</x:v>
      </x:c>
      <x:c r="D33" s="112" t="str">
        <x:f>'Campaign List'!E12</x:f>
        <x:v>MA</x:v>
      </x:c>
      <x:c r="E33" s="112" t="str">
        <x:f>'Campaign List'!F12</x:f>
        <x:v>Other</x:v>
      </x:c>
      <x:c r="F33" s="121" t="n">
        <x:f>'Campaign List'!G12</x:f>
        <x:v>82</x:v>
      </x:c>
      <x:c r="G33" s="112" t="str">
        <x:f>'Campaign List'!H12</x:f>
        <x:v>Director of Facilities</x:v>
      </x:c>
      <x:c r="H33" s="112" t="str">
        <x:f>'Campaign List'!J12</x:f>
        <x:v>Sales Rep A - Massachusetts</x:v>
      </x:c>
    </x:row>
    <x:row r="34" ht="34" customHeight="1">
      <x:c r="A34" s="118" t="n">
        <x:f>'Campaign List'!A13</x:f>
        <x:v>9</x:v>
      </x:c>
      <x:c r="B34" s="112" t="str">
        <x:f>'Campaign List'!C13</x:f>
        <x:v>RAND-WHITNEY CONTAINERBOARD LP - Montville, CT</x:v>
      </x:c>
      <x:c r="C34" s="112" t="str">
        <x:f>'Campaign List'!D13</x:f>
        <x:v>THE KRAFT GROUP</x:v>
      </x:c>
      <x:c r="D34" s="112" t="str">
        <x:f>'Campaign List'!E13</x:f>
        <x:v>CT</x:v>
      </x:c>
      <x:c r="E34" s="112" t="str">
        <x:f>'Campaign List'!F13</x:f>
        <x:v>Pulp and Paper</x:v>
      </x:c>
      <x:c r="F34" s="121" t="n">
        <x:f>'Campaign List'!G13</x:f>
        <x:v>81</x:v>
      </x:c>
      <x:c r="G34" s="112" t="str">
        <x:f>'Campaign List'!H13</x:f>
        <x:v>Energy Manager</x:v>
      </x:c>
      <x:c r="H34" s="112" t="str">
        <x:f>'Campaign List'!J13</x:f>
        <x:v>Sales Rep B - Connecticut/Rhode Island</x:v>
      </x:c>
    </x:row>
    <x:row r="35" ht="34" customHeight="1">
      <x:c r="A35" s="119" t="n">
        <x:f>'Campaign List'!A14</x:f>
        <x:v>10</x:v>
      </x:c>
      <x:c r="B35" s="113" t="str">
        <x:f>'Campaign List'!C14</x:f>
        <x:v>Wheelabrator Bridgeport L.P. - Bridgeport, CT</x:v>
      </x:c>
      <x:c r="C35" s="113" t="str">
        <x:f>'Campaign List'!D14</x:f>
        <x:v>WHEELABRATOR TECHNOLOGIES HOLDINGS INC</x:v>
      </x:c>
      <x:c r="D35" s="113" t="str">
        <x:f>'Campaign List'!E14</x:f>
        <x:v>CT</x:v>
      </x:c>
      <x:c r="E35" s="113" t="str">
        <x:f>'Campaign List'!F14</x:f>
        <x:v>Waste</x:v>
      </x:c>
      <x:c r="F35" s="122" t="n">
        <x:f>'Campaign List'!G14</x:f>
        <x:v>80</x:v>
      </x:c>
      <x:c r="G35" s="113" t="str">
        <x:f>'Campaign List'!H14</x:f>
        <x:v>Director of Operations</x:v>
      </x:c>
      <x:c r="H35" s="113" t="str">
        <x:f>'Campaign List'!J14</x:f>
        <x:v>Sales Rep B - Connecticut/Rhode Island</x:v>
      </x:c>
    </x:row>
    <x:row r="38">
      <x:c r="A38" s="21" t="str">
        <x:v>Interpretation and next action</x:v>
      </x:c>
      <x:c r="B38" s="21" t="str">
        <x:v>Interpretation and next action</x:v>
      </x:c>
      <x:c r="C38" s="21" t="str">
        <x:v>Interpretation and next action</x:v>
      </x:c>
      <x:c r="D38" s="21" t="str">
        <x:v>Interpretation and next action</x:v>
      </x:c>
      <x:c r="E38" s="21" t="str">
        <x:v>Interpretation and next action</x:v>
      </x:c>
      <x:c r="F38" s="21" t="str">
        <x:v>Interpretation and next action</x:v>
      </x:c>
      <x:c r="G38" s="21" t="str">
        <x:v>Interpretation and next action</x:v>
      </x:c>
      <x:c r="H38" s="21" t="str">
        <x:v>Interpretation and next action</x:v>
      </x:c>
    </x:row>
    <x:row r="39" ht="28" customHeight="1">
      <x:c r="A39" s="124" t="str">
        <x:v>The model deliberately deprioritizes generation facilities and favors industrial, institutional, and waste-sector sites with stronger load and buyer-role fit.</x:v>
      </x:c>
      <x:c r="B39" s="124" t="str">
        <x:v>The model deliberately deprioritizes generation facilities and favors industrial, institutional, and waste-sector sites with stronger load and buyer-role fit.</x:v>
      </x:c>
      <x:c r="C39" s="124" t="str">
        <x:v>The model deliberately deprioritizes generation facilities and favors industrial, institutional, and waste-sector sites with stronger load and buyer-role fit.</x:v>
      </x:c>
      <x:c r="D39" s="124" t="str">
        <x:v>The model deliberately deprioritizes generation facilities and favors industrial, institutional, and waste-sector sites with stronger load and buyer-role fit.</x:v>
      </x:c>
      <x:c r="E39" s="124" t="str">
        <x:v>The model deliberately deprioritizes generation facilities and favors industrial, institutional, and waste-sector sites with stronger load and buyer-role fit.</x:v>
      </x:c>
      <x:c r="F39" s="124" t="str">
        <x:v>The model deliberately deprioritizes generation facilities and favors industrial, institutional, and waste-sector sites with stronger load and buyer-role fit.</x:v>
      </x:c>
      <x:c r="G39" s="124" t="str">
        <x:v>The model deliberately deprioritizes generation facilities and favors industrial, institutional, and waste-sector sites with stronger load and buyer-role fit.</x:v>
      </x:c>
      <x:c r="H39" s="124" t="str">
        <x:v>The model deliberately deprioritizes generation facilities and favors industrial, institutional, and waste-sector sites with stronger load and buyer-role fit.</x:v>
      </x:c>
    </x:row>
    <x:row r="40" ht="28" customHeight="1">
      <x:c r="A40" s="124" t="str">
        <x:v>Next action: create the Salesforce custom External ID, test-import five Account rows, import the remaining accounts, then research and verify individual contacts for the top 30.</x:v>
      </x:c>
      <x:c r="B40" s="124" t="str">
        <x:v>Next action: create the Salesforce custom External ID, test-import five Account rows, import the remaining accounts, then research and verify individual contacts for the top 30.</x:v>
      </x:c>
      <x:c r="C40" s="124" t="str">
        <x:v>Next action: create the Salesforce custom External ID, test-import five Account rows, import the remaining accounts, then research and verify individual contacts for the top 30.</x:v>
      </x:c>
      <x:c r="D40" s="124" t="str">
        <x:v>Next action: create the Salesforce custom External ID, test-import five Account rows, import the remaining accounts, then research and verify individual contacts for the top 30.</x:v>
      </x:c>
      <x:c r="E40" s="124" t="str">
        <x:v>Next action: create the Salesforce custom External ID, test-import five Account rows, import the remaining accounts, then research and verify individual contacts for the top 30.</x:v>
      </x:c>
      <x:c r="F40" s="124" t="str">
        <x:v>Next action: create the Salesforce custom External ID, test-import five Account rows, import the remaining accounts, then research and verify individual contacts for the top 30.</x:v>
      </x:c>
      <x:c r="G40" s="124" t="str">
        <x:v>Next action: create the Salesforce custom External ID, test-import five Account rows, import the remaining accounts, then research and verify individual contacts for the top 30.</x:v>
      </x:c>
      <x:c r="H40" s="124" t="str">
        <x:v>Next action: create the Salesforce custom External ID, test-import five Account rows, import the remaining accounts, then research and verify individual contacts for the top 30.</x:v>
      </x:c>
    </x:row>
    <x:row r="41" ht="28" customHeight="1">
      <x:c r="A41" s="124" t="str">
        <x:v>Source: EPA GHGRP 2023 Direct Point Emitters and Reported Parent Companies. No individual contact data was fabricated.</x:v>
      </x:c>
      <x:c r="B41" s="124" t="str">
        <x:v>Source: EPA GHGRP 2023 Direct Point Emitters and Reported Parent Companies. No individual contact data was fabricated.</x:v>
      </x:c>
      <x:c r="C41" s="124" t="str">
        <x:v>Source: EPA GHGRP 2023 Direct Point Emitters and Reported Parent Companies. No individual contact data was fabricated.</x:v>
      </x:c>
      <x:c r="D41" s="124" t="str">
        <x:v>Source: EPA GHGRP 2023 Direct Point Emitters and Reported Parent Companies. No individual contact data was fabricated.</x:v>
      </x:c>
      <x:c r="E41" s="124" t="str">
        <x:v>Source: EPA GHGRP 2023 Direct Point Emitters and Reported Parent Companies. No individual contact data was fabricated.</x:v>
      </x:c>
      <x:c r="F41" s="124" t="str">
        <x:v>Source: EPA GHGRP 2023 Direct Point Emitters and Reported Parent Companies. No individual contact data was fabricated.</x:v>
      </x:c>
      <x:c r="G41" s="124" t="str">
        <x:v>Source: EPA GHGRP 2023 Direct Point Emitters and Reported Parent Companies. No individual contact data was fabricated.</x:v>
      </x:c>
      <x:c r="H41" s="124" t="str">
        <x:v>Source: EPA GHGRP 2023 Direct Point Emitters and Reported Parent Companies. No individual contact data was fabricated.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24:H24"/>
    <x:mergeCell ref="A38:H38"/>
    <x:mergeCell ref="A39:H39"/>
    <x:mergeCell ref="A40:H40"/>
    <x:mergeCell ref="A41:H41"/>
  </x:mergeCells>
  <x:conditionalFormatting sqref="F26:F3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f9c098c601a46b8"/>
  <x:legacyDrawing xmlns:r="http://schemas.openxmlformats.org/officeDocument/2006/relationships" r:id="R8f86d27aed924aa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0F766E"/>
            </x14:dataBar>
          </x14:cfRule>
          <xm:sqref>F26:F35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42" hidden="0" customWidth="1"/>
    <x:col min="4" max="4" width="30" hidden="0" customWidth="1"/>
    <x:col min="5" max="5" width="25" hidden="0" customWidth="1"/>
    <x:col min="6" max="6" width="11" hidden="0" customWidth="1"/>
    <x:col min="7" max="7" width="17" hidden="0" customWidth="1"/>
    <x:col min="8" max="8" width="8" hidden="0" customWidth="1"/>
    <x:col min="9" max="9" width="10" hidden="0" customWidth="1"/>
    <x:col min="10" max="10" width="17" hidden="0" customWidth="1"/>
    <x:col min="11" max="11" width="24" hidden="0" customWidth="1"/>
    <x:col min="12" max="12" width="25" hidden="0" customWidth="1"/>
    <x:col min="13" max="13" width="25" hidden="0" customWidth="1"/>
    <x:col min="14" max="14" width="28" hidden="0" customWidth="1"/>
    <x:col min="15" max="15" width="27" hidden="0" customWidth="1"/>
    <x:col min="16" max="16" width="31" hidden="0" customWidth="1"/>
    <x:col min="17" max="17" width="36" hidden="0" customWidth="1"/>
    <x:col min="18" max="18" width="14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3" hidden="0" customWidth="1"/>
    <x:col min="27" max="27" width="18" hidden="0" customWidth="1"/>
    <x:col min="28" max="28" width="14" hidden="0" customWidth="1"/>
    <x:col min="29" max="29" width="54" hidden="0" customWidth="1"/>
    <x:col min="30" max="30" width="13" hidden="0" customWidth="1"/>
  </x:cols>
  <x:sheetData>
    <x:row r="1" ht="30" customHeight="1">
      <x:c r="A1" s="3" t="str">
        <x:v>New England Sales Operations Prospect Scoring</x:v>
      </x:c>
      <x:c r="B1" s="3" t="str">
        <x:v>New England Sales Operations Prospect Scoring</x:v>
      </x:c>
      <x:c r="C1" s="3" t="str">
        <x:v>New England Sales Operations Prospect Scoring</x:v>
      </x:c>
      <x:c r="D1" s="3" t="str">
        <x:v>New England Sales Operations Prospect Scoring</x:v>
      </x:c>
      <x:c r="E1" s="3" t="str">
        <x:v>New England Sales Operations Prospect Scoring</x:v>
      </x:c>
      <x:c r="F1" s="3" t="str">
        <x:v>New England Sales Operations Prospect Scoring</x:v>
      </x:c>
      <x:c r="G1" s="3" t="str">
        <x:v>New England Sales Operations Prospect Scoring</x:v>
      </x:c>
      <x:c r="H1" s="3" t="str">
        <x:v>New England Sales Operations Prospect Scoring</x:v>
      </x:c>
      <x:c r="I1" s="3" t="str">
        <x:v>New England Sales Operations Prospect Scoring</x:v>
      </x:c>
      <x:c r="J1" s="3" t="str">
        <x:v>New England Sales Operations Prospect Scoring</x:v>
      </x:c>
      <x:c r="K1" s="3" t="str">
        <x:v>New England Sales Operations Prospect Scoring</x:v>
      </x:c>
      <x:c r="L1" s="3" t="str">
        <x:v>New England Sales Operations Prospect Scoring</x:v>
      </x:c>
      <x:c r="M1" s="3" t="str">
        <x:v>New England Sales Operations Prospect Scoring</x:v>
      </x:c>
      <x:c r="N1" s="3" t="str">
        <x:v>New England Sales Operations Prospect Scoring</x:v>
      </x:c>
      <x:c r="O1" s="3" t="str">
        <x:v>New England Sales Operations Prospect Scoring</x:v>
      </x:c>
      <x:c r="P1" s="3" t="str">
        <x:v>New England Sales Operations Prospect Scoring</x:v>
      </x:c>
      <x:c r="Q1" s="3" t="str">
        <x:v>New England Sales Operations Prospect Scoring</x:v>
      </x:c>
      <x:c r="R1" s="3" t="str">
        <x:v>New England Sales Operations Prospect Scoring</x:v>
      </x:c>
      <x:c r="S1" s="3" t="str">
        <x:v>New England Sales Operations Prospect Scoring</x:v>
      </x:c>
      <x:c r="T1" s="3" t="str">
        <x:v>New England Sales Operations Prospect Scoring</x:v>
      </x:c>
      <x:c r="U1" s="3" t="str">
        <x:v>New England Sales Operations Prospect Scoring</x:v>
      </x:c>
      <x:c r="V1" s="3" t="str">
        <x:v>New England Sales Operations Prospect Scoring</x:v>
      </x:c>
      <x:c r="W1" s="3" t="str">
        <x:v>New England Sales Operations Prospect Scoring</x:v>
      </x:c>
      <x:c r="X1" s="3" t="str">
        <x:v>New England Sales Operations Prospect Scoring</x:v>
      </x:c>
      <x:c r="Y1" s="3" t="str">
        <x:v>New England Sales Operations Prospect Scoring</x:v>
      </x:c>
      <x:c r="Z1" s="3" t="str">
        <x:v>New England Sales Operations Prospect Scoring</x:v>
      </x:c>
      <x:c r="AA1" s="3" t="str">
        <x:v>New England Sales Operations Prospect Scoring</x:v>
      </x:c>
      <x:c r="AB1" s="3" t="str">
        <x:v>New England Sales Operations Prospect Scoring</x:v>
      </x:c>
      <x:c r="AC1" s="3" t="str">
        <x:v>New England Sales Operations Prospect Scoring</x:v>
      </x:c>
      <x:c r="AD1" s="3" t="str">
        <x:v>New England Sales Operations Prospect Scoring</x:v>
      </x:c>
    </x:row>
    <x:row r="2" ht="28" customHeight="1">
      <x:c r="A2" s="7" t="str">
        <x:v>160 EPA-sourced facility-level accounts. Formula columns S:AB recalculate when scoring assumptions or source fields change.</x:v>
      </x:c>
      <x:c r="B2" s="7" t="str">
        <x:v>160 EPA-sourced facility-level accounts. Formula columns S:AB recalculate when scoring assumptions or source fields change.</x:v>
      </x:c>
      <x:c r="C2" s="7" t="str">
        <x:v>160 EPA-sourced facility-level accounts. Formula columns S:AB recalculate when scoring assumptions or source fields change.</x:v>
      </x:c>
      <x:c r="D2" s="7" t="str">
        <x:v>160 EPA-sourced facility-level accounts. Formula columns S:AB recalculate when scoring assumptions or source fields change.</x:v>
      </x:c>
      <x:c r="E2" s="7" t="str">
        <x:v>160 EPA-sourced facility-level accounts. Formula columns S:AB recalculate when scoring assumptions or source fields change.</x:v>
      </x:c>
      <x:c r="F2" s="7" t="str">
        <x:v>160 EPA-sourced facility-level accounts. Formula columns S:AB recalculate when scoring assumptions or source fields change.</x:v>
      </x:c>
      <x:c r="G2" s="7" t="str">
        <x:v>160 EPA-sourced facility-level accounts. Formula columns S:AB recalculate when scoring assumptions or source fields change.</x:v>
      </x:c>
      <x:c r="H2" s="7" t="str">
        <x:v>160 EPA-sourced facility-level accounts. Formula columns S:AB recalculate when scoring assumptions or source fields change.</x:v>
      </x:c>
      <x:c r="I2" s="7" t="str">
        <x:v>160 EPA-sourced facility-level accounts. Formula columns S:AB recalculate when scoring assumptions or source fields change.</x:v>
      </x:c>
      <x:c r="J2" s="7" t="str">
        <x:v>160 EPA-sourced facility-level accounts. Formula columns S:AB recalculate when scoring assumptions or source fields change.</x:v>
      </x:c>
      <x:c r="K2" s="7" t="str">
        <x:v>160 EPA-sourced facility-level accounts. Formula columns S:AB recalculate when scoring assumptions or source fields change.</x:v>
      </x:c>
      <x:c r="L2" s="7" t="str">
        <x:v>160 EPA-sourced facility-level accounts. Formula columns S:AB recalculate when scoring assumptions or source fields change.</x:v>
      </x:c>
      <x:c r="M2" s="7" t="str">
        <x:v>160 EPA-sourced facility-level accounts. Formula columns S:AB recalculate when scoring assumptions or source fields change.</x:v>
      </x:c>
      <x:c r="N2" s="7" t="str">
        <x:v>160 EPA-sourced facility-level accounts. Formula columns S:AB recalculate when scoring assumptions or source fields change.</x:v>
      </x:c>
      <x:c r="O2" s="7" t="str">
        <x:v>160 EPA-sourced facility-level accounts. Formula columns S:AB recalculate when scoring assumptions or source fields change.</x:v>
      </x:c>
      <x:c r="P2" s="7" t="str">
        <x:v>160 EPA-sourced facility-level accounts. Formula columns S:AB recalculate when scoring assumptions or source fields change.</x:v>
      </x:c>
      <x:c r="Q2" s="7" t="str">
        <x:v>160 EPA-sourced facility-level accounts. Formula columns S:AB recalculate when scoring assumptions or source fields change.</x:v>
      </x:c>
      <x:c r="R2" s="7" t="str">
        <x:v>160 EPA-sourced facility-level accounts. Formula columns S:AB recalculate when scoring assumptions or source fields change.</x:v>
      </x:c>
      <x:c r="S2" s="7" t="str">
        <x:v>160 EPA-sourced facility-level accounts. Formula columns S:AB recalculate when scoring assumptions or source fields change.</x:v>
      </x:c>
      <x:c r="T2" s="7" t="str">
        <x:v>160 EPA-sourced facility-level accounts. Formula columns S:AB recalculate when scoring assumptions or source fields change.</x:v>
      </x:c>
      <x:c r="U2" s="7" t="str">
        <x:v>160 EPA-sourced facility-level accounts. Formula columns S:AB recalculate when scoring assumptions or source fields change.</x:v>
      </x:c>
      <x:c r="V2" s="7" t="str">
        <x:v>160 EPA-sourced facility-level accounts. Formula columns S:AB recalculate when scoring assumptions or source fields change.</x:v>
      </x:c>
      <x:c r="W2" s="7" t="str">
        <x:v>160 EPA-sourced facility-level accounts. Formula columns S:AB recalculate when scoring assumptions or source fields change.</x:v>
      </x:c>
      <x:c r="X2" s="7" t="str">
        <x:v>160 EPA-sourced facility-level accounts. Formula columns S:AB recalculate when scoring assumptions or source fields change.</x:v>
      </x:c>
      <x:c r="Y2" s="7" t="str">
        <x:v>160 EPA-sourced facility-level accounts. Formula columns S:AB recalculate when scoring assumptions or source fields change.</x:v>
      </x:c>
      <x:c r="Z2" s="7" t="str">
        <x:v>160 EPA-sourced facility-level accounts. Formula columns S:AB recalculate when scoring assumptions or source fields change.</x:v>
      </x:c>
      <x:c r="AA2" s="7" t="str">
        <x:v>160 EPA-sourced facility-level accounts. Formula columns S:AB recalculate when scoring assumptions or source fields change.</x:v>
      </x:c>
      <x:c r="AB2" s="7" t="str">
        <x:v>160 EPA-sourced facility-level accounts. Formula columns S:AB recalculate when scoring assumptions or source fields change.</x:v>
      </x:c>
      <x:c r="AC2" s="7" t="str">
        <x:v>160 EPA-sourced facility-level accounts. Formula columns S:AB recalculate when scoring assumptions or source fields change.</x:v>
      </x:c>
      <x:c r="AD2" s="7" t="str">
        <x:v>160 EPA-sourced facility-level accounts. Formula columns S:AB recalculate when scoring assumptions or source fields change.</x:v>
      </x:c>
    </x:row>
    <x:row r="4" ht="32" customHeight="1">
      <x:c r="A4" s="13" t="str">
        <x:v>Prospect ID</x:v>
      </x:c>
      <x:c r="B4" s="13" t="str">
        <x:v>External ID</x:v>
      </x:c>
      <x:c r="C4" s="13" t="str">
        <x:v>Account Name</x:v>
      </x:c>
      <x:c r="D4" s="13" t="str">
        <x:v>Parent Company</x:v>
      </x:c>
      <x:c r="E4" s="13" t="str">
        <x:v>Industry Sector</x:v>
      </x:c>
      <x:c r="F4" s="13" t="str">
        <x:v>NAICS</x:v>
      </x:c>
      <x:c r="G4" s="13" t="str">
        <x:v>City</x:v>
      </x:c>
      <x:c r="H4" s="13" t="str">
        <x:v>State</x:v>
      </x:c>
      <x:c r="I4" s="13" t="str">
        <x:v>ZIP</x:v>
      </x:c>
      <x:c r="J4" s="13" t="str">
        <x:v>Emissions (mtCO2e)</x:v>
      </x:c>
      <x:c r="K4" s="13" t="str">
        <x:v>Operational Scale</x:v>
      </x:c>
      <x:c r="L4" s="13" t="str">
        <x:v>Target Decision-Maker Role</x:v>
      </x:c>
      <x:c r="M4" s="13" t="str">
        <x:v>Secondary Role</x:v>
      </x:c>
      <x:c r="N4" s="13" t="str">
        <x:v>Contact Research Status</x:v>
      </x:c>
      <x:c r="O4" s="13" t="str">
        <x:v>Campaign Segment</x:v>
      </x:c>
      <x:c r="P4" s="13" t="str">
        <x:v>Suggested Owner</x:v>
      </x:c>
      <x:c r="Q4" s="13" t="str">
        <x:v>Source URL</x:v>
      </x:c>
      <x:c r="R4" s="13" t="str">
        <x:v>Source Record ID</x:v>
      </x:c>
      <x:c r="S4" s="13" t="str">
        <x:v>State Pts</x:v>
      </x:c>
      <x:c r="T4" s="13" t="str">
        <x:v>Sector Pts</x:v>
      </x:c>
      <x:c r="U4" s="13" t="str">
        <x:v>Scale Pts</x:v>
      </x:c>
      <x:c r="V4" s="13" t="str">
        <x:v>Data Quality Pts</x:v>
      </x:c>
      <x:c r="W4" s="13" t="str">
        <x:v>Viability Pts</x:v>
      </x:c>
      <x:c r="X4" s="13" t="str">
        <x:v>Lead Score</x:v>
      </x:c>
      <x:c r="Y4" s="13" t="str">
        <x:v>Lead Rank</x:v>
      </x:c>
      <x:c r="Z4" s="13" t="str">
        <x:v>Lead Priority</x:v>
      </x:c>
      <x:c r="AA4" s="13" t="str">
        <x:v>Duplicate Key</x:v>
      </x:c>
      <x:c r="AB4" s="13" t="str">
        <x:v>Duplicate Flag</x:v>
      </x:c>
      <x:c r="AC4" s="13" t="str">
        <x:v>Qualification Notes</x:v>
      </x:c>
      <x:c r="AD4" s="13" t="str">
        <x:v>Source Date</x:v>
      </x:c>
    </x:row>
    <x:row r="5">
      <x:c r="A5" s="41" t="str">
        <x:v>NE-001</x:v>
      </x:c>
      <x:c r="B5" s="41" t="str">
        <x:v>GHGRP-1006366</x:v>
      </x:c>
      <x:c r="C5" s="47" t="str">
        <x:v>ND Paper Inc - Rumford Division - Rumford, ME</x:v>
      </x:c>
      <x:c r="D5" s="47" t="str">
        <x:v>ND PAPER LLC</x:v>
      </x:c>
      <x:c r="E5" s="47" t="str">
        <x:v>Pulp and Paper</x:v>
      </x:c>
      <x:c r="F5" s="41" t="str">
        <x:v>322120</x:v>
      </x:c>
      <x:c r="G5" s="41" t="str">
        <x:v>Rumford</x:v>
      </x:c>
      <x:c r="H5" s="41" t="str">
        <x:v>ME</x:v>
      </x:c>
      <x:c r="I5" s="41" t="str">
        <x:v>04276</x:v>
      </x:c>
      <x:c r="J5" s="42" t="n">
        <x:v>416873.85</x:v>
      </x:c>
      <x:c r="K5" s="43" t="str">
        <x:f>VLOOKUP(J5,'Rules and Assumptions'!$H$5:$J$9,3,TRUE)</x:f>
        <x:v>Very Large Reporting Load</x:v>
      </x:c>
      <x:c r="L5" s="47" t="str">
        <x:v>Energy Manager</x:v>
      </x:c>
      <x:c r="M5" s="47" t="str">
        <x:v>Director of Procurement</x:v>
      </x:c>
      <x:c r="N5" s="47" t="str">
        <x:v>Role identified; person not yet verified</x:v>
      </x:c>
      <x:c r="O5" s="47" t="str">
        <x:v>Industrial High-Load</x:v>
      </x:c>
      <x:c r="P5" s="47" t="str">
        <x:v>Sales Rep C - Northern New England</x:v>
      </x:c>
      <x:c r="Q5" s="47" t="str">
        <x:v>https://www.epa.gov/ghgreporting/data-sets</x:v>
      </x:c>
      <x:c r="R5" s="44" t="n">
        <x:v>1006366</x:v>
      </x:c>
      <x:c r="S5" s="45" t="n">
        <x:f>VLOOKUP(H5,'Rules and Assumptions'!$A$5:$B$10,2,FALSE)</x:f>
        <x:v>12</x:v>
      </x:c>
      <x:c r="T5" s="45" t="n">
        <x:f>VLOOKUP(E5,'Rules and Assumptions'!$D$5:$F$15,2,FALSE)</x:f>
        <x:v>30</x:v>
      </x:c>
      <x:c r="U5" s="45" t="n">
        <x:f>VLOOKUP(J5,'Rules and Assumptions'!$H$5:$J$9,2,TRUE)</x:f>
        <x:v>25</x:v>
      </x:c>
      <x:c r="V5" s="45" t="n">
        <x:f>IF(D5&lt;&gt;"",4,0)+IF(F5&lt;&gt;"",2,0)+IF(G5&lt;&gt;"",1,0)+IF(L5&lt;&gt;"",2,0)+IF(R5&lt;&gt;"",1,0)</x:f>
        <x:v>10</x:v>
      </x:c>
      <x:c r="W5" s="45" t="n">
        <x:f>VLOOKUP(E5,'Rules and Assumptions'!$D$5:$F$15,3,FALSE)</x:f>
        <x:v>10</x:v>
      </x:c>
      <x:c r="X5" s="45" t="n">
        <x:f>SUM(S5:W5)</x:f>
        <x:v>87</x:v>
      </x:c>
      <x:c r="Y5" s="45" t="n">
        <x:f>RANK.EQ(X5,$X$5:$X$164,0)+COUNTIF($X$5:X5,X5)-1</x:f>
        <x:v>1</x:v>
      </x:c>
      <x:c r="Z5" s="43" t="str">
        <x:f>IF(Y5&lt;='Rules and Assumptions'!$M$5,"High",IF(Y5&lt;='Rules and Assumptions'!$M$6,"Medium","Low"))</x:f>
        <x:v>High</x:v>
      </x:c>
      <x:c r="AA5" s="43" t="str">
        <x:f>LOWER(TRIM(B5))</x:f>
        <x:v>ghgrp-1006366</x:v>
      </x:c>
      <x:c r="AB5" s="43" t="str">
        <x:f>IF(COUNTIF($AA$5:$AA$164,AA5)&gt;1,"Review","Unique")</x:f>
        <x:v>Unique</x:v>
      </x:c>
      <x:c r="AC5" s="47" t="str">
        <x:v>High-load manufacturing prospect with a clear energy-management and procurement use case.</x:v>
      </x:c>
      <x:c r="AD5" s="46" t="n">
        <x:v>45520</x:v>
      </x:c>
    </x:row>
    <x:row r="6">
      <x:c r="A6" s="41" t="str">
        <x:v>NE-002</x:v>
      </x:c>
      <x:c r="B6" s="41" t="str">
        <x:v>GHGRP-1003048</x:v>
      </x:c>
      <x:c r="C6" s="47" t="str">
        <x:v>Sappi North America, Inc. - Somerset Operations - Skowhegan, ME</x:v>
      </x:c>
      <x:c r="D6" s="47" t="str">
        <x:v>SAPPI NORTH AMERICA INC</x:v>
      </x:c>
      <x:c r="E6" s="47" t="str">
        <x:v>Pulp and Paper,Waste</x:v>
      </x:c>
      <x:c r="F6" s="41" t="str">
        <x:v>322120</x:v>
      </x:c>
      <x:c r="G6" s="41" t="str">
        <x:v>Skowhegan</x:v>
      </x:c>
      <x:c r="H6" s="41" t="str">
        <x:v>ME</x:v>
      </x:c>
      <x:c r="I6" s="41" t="str">
        <x:v>04976</x:v>
      </x:c>
      <x:c r="J6" s="42" t="n">
        <x:v>316253.638</x:v>
      </x:c>
      <x:c r="K6" s="43" t="str">
        <x:f>VLOOKUP(J6,'Rules and Assumptions'!$H$5:$J$9,3,TRUE)</x:f>
        <x:v>Very Large Reporting Load</x:v>
      </x:c>
      <x:c r="L6" s="47" t="str">
        <x:v>Energy Manager</x:v>
      </x:c>
      <x:c r="M6" s="47" t="str">
        <x:v>Director of Procurement</x:v>
      </x:c>
      <x:c r="N6" s="47" t="str">
        <x:v>Role identified; person not yet verified</x:v>
      </x:c>
      <x:c r="O6" s="47" t="str">
        <x:v>Industrial High-Load</x:v>
      </x:c>
      <x:c r="P6" s="47" t="str">
        <x:v>Sales Rep C - Northern New England</x:v>
      </x:c>
      <x:c r="Q6" s="47" t="str">
        <x:v>https://www.epa.gov/ghgreporting/data-sets</x:v>
      </x:c>
      <x:c r="R6" s="44" t="n">
        <x:v>1003048</x:v>
      </x:c>
      <x:c r="S6" s="45" t="n">
        <x:f>VLOOKUP(H6,'Rules and Assumptions'!$A$5:$B$10,2,FALSE)</x:f>
        <x:v>12</x:v>
      </x:c>
      <x:c r="T6" s="45" t="n">
        <x:f>VLOOKUP(E6,'Rules and Assumptions'!$D$5:$F$15,2,FALSE)</x:f>
        <x:v>30</x:v>
      </x:c>
      <x:c r="U6" s="45" t="n">
        <x:f>VLOOKUP(J6,'Rules and Assumptions'!$H$5:$J$9,2,TRUE)</x:f>
        <x:v>25</x:v>
      </x:c>
      <x:c r="V6" s="45" t="n">
        <x:f>IF(D6&lt;&gt;"",4,0)+IF(F6&lt;&gt;"",2,0)+IF(G6&lt;&gt;"",1,0)+IF(L6&lt;&gt;"",2,0)+IF(R6&lt;&gt;"",1,0)</x:f>
        <x:v>10</x:v>
      </x:c>
      <x:c r="W6" s="45" t="n">
        <x:f>VLOOKUP(E6,'Rules and Assumptions'!$D$5:$F$15,3,FALSE)</x:f>
        <x:v>10</x:v>
      </x:c>
      <x:c r="X6" s="45" t="n">
        <x:f>SUM(S6:W6)</x:f>
        <x:v>87</x:v>
      </x:c>
      <x:c r="Y6" s="45" t="n">
        <x:f>RANK.EQ(X6,$X$5:$X$164,0)+COUNTIF($X$5:X6,X6)-1</x:f>
        <x:v>2</x:v>
      </x:c>
      <x:c r="Z6" s="43" t="str">
        <x:f>IF(Y6&lt;='Rules and Assumptions'!$M$5,"High",IF(Y6&lt;='Rules and Assumptions'!$M$6,"Medium","Low"))</x:f>
        <x:v>High</x:v>
      </x:c>
      <x:c r="AA6" s="43" t="str">
        <x:f>LOWER(TRIM(B6))</x:f>
        <x:v>ghgrp-1003048</x:v>
      </x:c>
      <x:c r="AB6" s="43" t="str">
        <x:f>IF(COUNTIF($AA$5:$AA$164,AA6)&gt;1,"Review","Unique")</x:f>
        <x:v>Unique</x:v>
      </x:c>
      <x:c r="AC6" s="47" t="str">
        <x:v>High-load manufacturing and waste operation; prioritize energy and procurement stakeholders.</x:v>
      </x:c>
      <x:c r="AD6" s="46" t="n">
        <x:v>45520</x:v>
      </x:c>
    </x:row>
    <x:row r="7">
      <x:c r="A7" s="41" t="str">
        <x:v>NE-003</x:v>
      </x:c>
      <x:c r="B7" s="41" t="str">
        <x:v>GHGRP-1001889</x:v>
      </x:c>
      <x:c r="C7" s="47" t="str">
        <x:v>WOODLAND PULP LLC - Baileyville, ME</x:v>
      </x:c>
      <x:c r="D7" s="47" t="str">
        <x:v>INTERNATIONAL GRAND INVESTMENT CORP</x:v>
      </x:c>
      <x:c r="E7" s="47" t="str">
        <x:v>Pulp and Paper,Waste</x:v>
      </x:c>
      <x:c r="F7" s="41" t="str">
        <x:v>322110</x:v>
      </x:c>
      <x:c r="G7" s="41" t="str">
        <x:v>Baileyville</x:v>
      </x:c>
      <x:c r="H7" s="41" t="str">
        <x:v>ME</x:v>
      </x:c>
      <x:c r="I7" s="41" t="str">
        <x:v>04694</x:v>
      </x:c>
      <x:c r="J7" s="42" t="n">
        <x:v>258839.416</x:v>
      </x:c>
      <x:c r="K7" s="43" t="str">
        <x:f>VLOOKUP(J7,'Rules and Assumptions'!$H$5:$J$9,3,TRUE)</x:f>
        <x:v>Very Large Reporting Load</x:v>
      </x:c>
      <x:c r="L7" s="47" t="str">
        <x:v>Energy Manager</x:v>
      </x:c>
      <x:c r="M7" s="47" t="str">
        <x:v>Director of Procurement</x:v>
      </x:c>
      <x:c r="N7" s="47" t="str">
        <x:v>Role identified; person not yet verified</x:v>
      </x:c>
      <x:c r="O7" s="47" t="str">
        <x:v>Industrial High-Load</x:v>
      </x:c>
      <x:c r="P7" s="47" t="str">
        <x:v>Sales Rep C - Northern New England</x:v>
      </x:c>
      <x:c r="Q7" s="47" t="str">
        <x:v>https://www.epa.gov/ghgreporting/data-sets</x:v>
      </x:c>
      <x:c r="R7" s="44" t="n">
        <x:v>1001889</x:v>
      </x:c>
      <x:c r="S7" s="45" t="n">
        <x:f>VLOOKUP(H7,'Rules and Assumptions'!$A$5:$B$10,2,FALSE)</x:f>
        <x:v>12</x:v>
      </x:c>
      <x:c r="T7" s="45" t="n">
        <x:f>VLOOKUP(E7,'Rules and Assumptions'!$D$5:$F$15,2,FALSE)</x:f>
        <x:v>30</x:v>
      </x:c>
      <x:c r="U7" s="45" t="n">
        <x:f>VLOOKUP(J7,'Rules and Assumptions'!$H$5:$J$9,2,TRUE)</x:f>
        <x:v>25</x:v>
      </x:c>
      <x:c r="V7" s="45" t="n">
        <x:f>IF(D7&lt;&gt;"",4,0)+IF(F7&lt;&gt;"",2,0)+IF(G7&lt;&gt;"",1,0)+IF(L7&lt;&gt;"",2,0)+IF(R7&lt;&gt;"",1,0)</x:f>
        <x:v>10</x:v>
      </x:c>
      <x:c r="W7" s="45" t="n">
        <x:f>VLOOKUP(E7,'Rules and Assumptions'!$D$5:$F$15,3,FALSE)</x:f>
        <x:v>10</x:v>
      </x:c>
      <x:c r="X7" s="45" t="n">
        <x:f>SUM(S7:W7)</x:f>
        <x:v>87</x:v>
      </x:c>
      <x:c r="Y7" s="45" t="n">
        <x:f>RANK.EQ(X7,$X$5:$X$164,0)+COUNTIF($X$5:X7,X7)-1</x:f>
        <x:v>3</x:v>
      </x:c>
      <x:c r="Z7" s="43" t="str">
        <x:f>IF(Y7&lt;='Rules and Assumptions'!$M$5,"High",IF(Y7&lt;='Rules and Assumptions'!$M$6,"Medium","Low"))</x:f>
        <x:v>High</x:v>
      </x:c>
      <x:c r="AA7" s="43" t="str">
        <x:f>LOWER(TRIM(B7))</x:f>
        <x:v>ghgrp-1001889</x:v>
      </x:c>
      <x:c r="AB7" s="43" t="str">
        <x:f>IF(COUNTIF($AA$5:$AA$164,AA7)&gt;1,"Review","Unique")</x:f>
        <x:v>Unique</x:v>
      </x:c>
      <x:c r="AC7" s="47" t="str">
        <x:v>High-load manufacturing and waste operation; prioritize energy and procurement stakeholders.</x:v>
      </x:c>
      <x:c r="AD7" s="46" t="n">
        <x:v>45520</x:v>
      </x:c>
    </x:row>
    <x:row r="8">
      <x:c r="A8" s="41" t="str">
        <x:v>NE-004</x:v>
      </x:c>
      <x:c r="B8" s="41" t="str">
        <x:v>GHGRP-1006065</x:v>
      </x:c>
      <x:c r="C8" s="47" t="str">
        <x:v>KIMBERLY-CLARK TISSUE MILL - New Milford, CT</x:v>
      </x:c>
      <x:c r="D8" s="47" t="str">
        <x:v>KIMBERLY-CLARK CORP</x:v>
      </x:c>
      <x:c r="E8" s="47" t="str">
        <x:v>Pulp and Paper</x:v>
      </x:c>
      <x:c r="F8" s="41" t="str">
        <x:v>322120</x:v>
      </x:c>
      <x:c r="G8" s="41" t="str">
        <x:v>New Milford</x:v>
      </x:c>
      <x:c r="H8" s="41" t="str">
        <x:v>CT</x:v>
      </x:c>
      <x:c r="I8" s="41" t="str">
        <x:v>06776</x:v>
      </x:c>
      <x:c r="J8" s="42" t="n">
        <x:v>139054.776</x:v>
      </x:c>
      <x:c r="K8" s="43" t="str">
        <x:f>VLOOKUP(J8,'Rules and Assumptions'!$H$5:$J$9,3,TRUE)</x:f>
        <x:v>Large Reporting Load</x:v>
      </x:c>
      <x:c r="L8" s="47" t="str">
        <x:v>Energy Manager</x:v>
      </x:c>
      <x:c r="M8" s="47" t="str">
        <x:v>Director of Procurement</x:v>
      </x:c>
      <x:c r="N8" s="47" t="str">
        <x:v>Role identified; person not yet verified</x:v>
      </x:c>
      <x:c r="O8" s="47" t="str">
        <x:v>Industrial High-Load</x:v>
      </x:c>
      <x:c r="P8" s="47" t="str">
        <x:v>Sales Rep B - Connecticut/Rhode Island</x:v>
      </x:c>
      <x:c r="Q8" s="47" t="str">
        <x:v>https://www.epa.gov/ghgreporting/data-sets</x:v>
      </x:c>
      <x:c r="R8" s="44" t="n">
        <x:v>1006065</x:v>
      </x:c>
      <x:c r="S8" s="45" t="n">
        <x:f>VLOOKUP(H8,'Rules and Assumptions'!$A$5:$B$10,2,FALSE)</x:f>
        <x:v>16</x:v>
      </x:c>
      <x:c r="T8" s="45" t="n">
        <x:f>VLOOKUP(E8,'Rules and Assumptions'!$D$5:$F$15,2,FALSE)</x:f>
        <x:v>30</x:v>
      </x:c>
      <x:c r="U8" s="45" t="n">
        <x:f>VLOOKUP(J8,'Rules and Assumptions'!$H$5:$J$9,2,TRUE)</x:f>
        <x:v>20</x:v>
      </x:c>
      <x:c r="V8" s="45" t="n">
        <x:f>IF(D8&lt;&gt;"",4,0)+IF(F8&lt;&gt;"",2,0)+IF(G8&lt;&gt;"",1,0)+IF(L8&lt;&gt;"",2,0)+IF(R8&lt;&gt;"",1,0)</x:f>
        <x:v>10</x:v>
      </x:c>
      <x:c r="W8" s="45" t="n">
        <x:f>VLOOKUP(E8,'Rules and Assumptions'!$D$5:$F$15,3,FALSE)</x:f>
        <x:v>10</x:v>
      </x:c>
      <x:c r="X8" s="45" t="n">
        <x:f>SUM(S8:W8)</x:f>
        <x:v>86</x:v>
      </x:c>
      <x:c r="Y8" s="45" t="n">
        <x:f>RANK.EQ(X8,$X$5:$X$164,0)+COUNTIF($X$5:X8,X8)-1</x:f>
        <x:v>4</x:v>
      </x:c>
      <x:c r="Z8" s="43" t="str">
        <x:f>IF(Y8&lt;='Rules and Assumptions'!$M$5,"High",IF(Y8&lt;='Rules and Assumptions'!$M$6,"Medium","Low"))</x:f>
        <x:v>High</x:v>
      </x:c>
      <x:c r="AA8" s="43" t="str">
        <x:f>LOWER(TRIM(B8))</x:f>
        <x:v>ghgrp-1006065</x:v>
      </x:c>
      <x:c r="AB8" s="43" t="str">
        <x:f>IF(COUNTIF($AA$5:$AA$164,AA8)&gt;1,"Review","Unique")</x:f>
        <x:v>Unique</x:v>
      </x:c>
      <x:c r="AC8" s="47" t="str">
        <x:v>High-load manufacturing prospect with a clear energy-management and procurement use case.</x:v>
      </x:c>
      <x:c r="AD8" s="46" t="n">
        <x:v>45520</x:v>
      </x:c>
    </x:row>
    <x:row r="9">
      <x:c r="A9" s="41" t="str">
        <x:v>NE-005</x:v>
      </x:c>
      <x:c r="B9" s="41" t="str">
        <x:v>GHGRP-1000056</x:v>
      </x:c>
      <x:c r="C9" s="47" t="str">
        <x:v>SPECIALTY MINERALS - Adams, MA</x:v>
      </x:c>
      <x:c r="D9" s="47" t="str">
        <x:v>MINERALS TECHNOLOGIES INC</x:v>
      </x:c>
      <x:c r="E9" s="47" t="str">
        <x:v>Minerals</x:v>
      </x:c>
      <x:c r="F9" s="41" t="str">
        <x:v>327410</x:v>
      </x:c>
      <x:c r="G9" s="41" t="str">
        <x:v>Adams</x:v>
      </x:c>
      <x:c r="H9" s="41" t="str">
        <x:v>MA</x:v>
      </x:c>
      <x:c r="I9" s="41" t="str">
        <x:v>01220</x:v>
      </x:c>
      <x:c r="J9" s="42" t="n">
        <x:v>104307.134</x:v>
      </x:c>
      <x:c r="K9" s="43" t="str">
        <x:f>VLOOKUP(J9,'Rules and Assumptions'!$H$5:$J$9,3,TRUE)</x:f>
        <x:v>Large Reporting Load</x:v>
      </x:c>
      <x:c r="L9" s="47" t="str">
        <x:v>Plant Manager</x:v>
      </x:c>
      <x:c r="M9" s="47" t="str">
        <x:v>Director of Strategic Sourcing</x:v>
      </x:c>
      <x:c r="N9" s="47" t="str">
        <x:v>Role identified; person not yet verified</x:v>
      </x:c>
      <x:c r="O9" s="47" t="str">
        <x:v>Industrial High-Load</x:v>
      </x:c>
      <x:c r="P9" s="47" t="str">
        <x:v>Sales Rep A - Massachusetts</x:v>
      </x:c>
      <x:c r="Q9" s="47" t="str">
        <x:v>https://www.epa.gov/ghgreporting/data-sets</x:v>
      </x:c>
      <x:c r="R9" s="44" t="n">
        <x:v>1000056</x:v>
      </x:c>
      <x:c r="S9" s="45" t="n">
        <x:f>VLOOKUP(H9,'Rules and Assumptions'!$A$5:$B$10,2,FALSE)</x:f>
        <x:v>20</x:v>
      </x:c>
      <x:c r="T9" s="45" t="n">
        <x:f>VLOOKUP(E9,'Rules and Assumptions'!$D$5:$F$15,2,FALSE)</x:f>
        <x:v>26</x:v>
      </x:c>
      <x:c r="U9" s="45" t="n">
        <x:f>VLOOKUP(J9,'Rules and Assumptions'!$H$5:$J$9,2,TRUE)</x:f>
        <x:v>20</x:v>
      </x:c>
      <x:c r="V9" s="45" t="n">
        <x:f>IF(D9&lt;&gt;"",4,0)+IF(F9&lt;&gt;"",2,0)+IF(G9&lt;&gt;"",1,0)+IF(L9&lt;&gt;"",2,0)+IF(R9&lt;&gt;"",1,0)</x:f>
        <x:v>10</x:v>
      </x:c>
      <x:c r="W9" s="45" t="n">
        <x:f>VLOOKUP(E9,'Rules and Assumptions'!$D$5:$F$15,3,FALSE)</x:f>
        <x:v>10</x:v>
      </x:c>
      <x:c r="X9" s="45" t="n">
        <x:f>SUM(S9:W9)</x:f>
        <x:v>86</x:v>
      </x:c>
      <x:c r="Y9" s="45" t="n">
        <x:f>RANK.EQ(X9,$X$5:$X$164,0)+COUNTIF($X$5:X9,X9)-1</x:f>
        <x:v>5</x:v>
      </x:c>
      <x:c r="Z9" s="43" t="str">
        <x:f>IF(Y9&lt;='Rules and Assumptions'!$M$5,"High",IF(Y9&lt;='Rules and Assumptions'!$M$6,"Medium","Low"))</x:f>
        <x:v>High</x:v>
      </x:c>
      <x:c r="AA9" s="43" t="str">
        <x:f>LOWER(TRIM(B9))</x:f>
        <x:v>ghgrp-1000056</x:v>
      </x:c>
      <x:c r="AB9" s="43" t="str">
        <x:f>IF(COUNTIF($AA$5:$AA$164,AA9)&gt;1,"Review","Unique")</x:f>
        <x:v>Unique</x:v>
      </x:c>
      <x:c r="AC9" s="47" t="str">
        <x:v>Industrial process-load prospect with potential power and natural-gas purchasing needs.</x:v>
      </x:c>
      <x:c r="AD9" s="46" t="n">
        <x:v>45520</x:v>
      </x:c>
    </x:row>
    <x:row r="10">
      <x:c r="A10" s="41" t="str">
        <x:v>NE-006</x:v>
      </x:c>
      <x:c r="B10" s="41" t="str">
        <x:v>GHGRP-1005710</x:v>
      </x:c>
      <x:c r="C10" s="47" t="str">
        <x:v>SEMASS PARTNERSHIP RESOURCE RECOVERY FACILITY - Rochester, MA</x:v>
      </x:c>
      <x:c r="D10" s="47" t="str">
        <x:v>COVANTA HOLDING CORP</x:v>
      </x:c>
      <x:c r="E10" s="47" t="str">
        <x:v>Waste</x:v>
      </x:c>
      <x:c r="F10" s="41" t="str">
        <x:v>562213</x:v>
      </x:c>
      <x:c r="G10" s="41" t="str">
        <x:v>Rochester</x:v>
      </x:c>
      <x:c r="H10" s="41" t="str">
        <x:v>MA</x:v>
      </x:c>
      <x:c r="I10" s="41" t="str">
        <x:v>02770</x:v>
      </x:c>
      <x:c r="J10" s="42" t="n">
        <x:v>423563.364</x:v>
      </x:c>
      <x:c r="K10" s="43" t="str">
        <x:f>VLOOKUP(J10,'Rules and Assumptions'!$H$5:$J$9,3,TRUE)</x:f>
        <x:v>Very Large Reporting Load</x:v>
      </x:c>
      <x:c r="L10" s="47" t="str">
        <x:v>Director of Operations</x:v>
      </x:c>
      <x:c r="M10" s="47" t="str">
        <x:v>Facilities Manager</x:v>
      </x:c>
      <x:c r="N10" s="47" t="str">
        <x:v>Role identified; person not yet verified</x:v>
      </x:c>
      <x:c r="O10" s="47" t="str">
        <x:v>Waste and Environmental</x:v>
      </x:c>
      <x:c r="P10" s="47" t="str">
        <x:v>Sales Rep A - Massachusetts</x:v>
      </x:c>
      <x:c r="Q10" s="47" t="str">
        <x:v>https://www.epa.gov/ghgreporting/data-sets</x:v>
      </x:c>
      <x:c r="R10" s="44" t="n">
        <x:v>1005710</x:v>
      </x:c>
      <x:c r="S10" s="45" t="n">
        <x:f>VLOOKUP(H10,'Rules and Assumptions'!$A$5:$B$10,2,FALSE)</x:f>
        <x:v>20</x:v>
      </x:c>
      <x:c r="T10" s="45" t="n">
        <x:f>VLOOKUP(E10,'Rules and Assumptions'!$D$5:$F$15,2,FALSE)</x:f>
        <x:v>20</x:v>
      </x:c>
      <x:c r="U10" s="45" t="n">
        <x:f>VLOOKUP(J10,'Rules and Assumptions'!$H$5:$J$9,2,TRUE)</x:f>
        <x:v>25</x:v>
      </x:c>
      <x:c r="V10" s="45" t="n">
        <x:f>IF(D10&lt;&gt;"",4,0)+IF(F10&lt;&gt;"",2,0)+IF(G10&lt;&gt;"",1,0)+IF(L10&lt;&gt;"",2,0)+IF(R10&lt;&gt;"",1,0)</x:f>
        <x:v>10</x:v>
      </x:c>
      <x:c r="W10" s="45" t="n">
        <x:f>VLOOKUP(E10,'Rules and Assumptions'!$D$5:$F$15,3,FALSE)</x:f>
        <x:v>9</x:v>
      </x:c>
      <x:c r="X10" s="45" t="n">
        <x:f>SUM(S10:W10)</x:f>
        <x:v>84</x:v>
      </x:c>
      <x:c r="Y10" s="45" t="n">
        <x:f>RANK.EQ(X10,$X$5:$X$164,0)+COUNTIF($X$5:X10,X10)-1</x:f>
        <x:v>6</x:v>
      </x:c>
      <x:c r="Z10" s="43" t="str">
        <x:f>IF(Y10&lt;='Rules and Assumptions'!$M$5,"High",IF(Y10&lt;='Rules and Assumptions'!$M$6,"Medium","Low"))</x:f>
        <x:v>High</x:v>
      </x:c>
      <x:c r="AA10" s="43" t="str">
        <x:f>LOWER(TRIM(B10))</x:f>
        <x:v>ghgrp-1005710</x:v>
      </x:c>
      <x:c r="AB10" s="43" t="str">
        <x:f>IF(COUNTIF($AA$5:$AA$164,AA10)&gt;1,"Review","Unique")</x:f>
        <x:v>Unique</x:v>
      </x:c>
      <x:c r="AC10" s="47" t="str">
        <x:v>Waste-sector facility; qualify electricity, natural-gas, and multi-site purchasing needs.</x:v>
      </x:c>
      <x:c r="AD10" s="46" t="n">
        <x:v>45520</x:v>
      </x:c>
    </x:row>
    <x:row r="11">
      <x:c r="A11" s="41" t="str">
        <x:v>NE-007</x:v>
      </x:c>
      <x:c r="B11" s="41" t="str">
        <x:v>GHGRP-1001289</x:v>
      </x:c>
      <x:c r="C11" s="47" t="str">
        <x:v>MIT Central Utility Plant - Cambridge, MA</x:v>
      </x:c>
      <x:c r="D11" s="47" t="str">
        <x:v>MASSACHUSETTS INSTITUTE OF TECHNOLOGY</x:v>
      </x:c>
      <x:c r="E11" s="47" t="str">
        <x:v>Other</x:v>
      </x:c>
      <x:c r="F11" s="41" t="str">
        <x:v>611310</x:v>
      </x:c>
      <x:c r="G11" s="41" t="str">
        <x:v>Cambridge</x:v>
      </x:c>
      <x:c r="H11" s="41" t="str">
        <x:v>MA</x:v>
      </x:c>
      <x:c r="I11" s="41" t="str">
        <x:v>02139</x:v>
      </x:c>
      <x:c r="J11" s="42" t="n">
        <x:v>163803.582</x:v>
      </x:c>
      <x:c r="K11" s="43" t="str">
        <x:f>VLOOKUP(J11,'Rules and Assumptions'!$H$5:$J$9,3,TRUE)</x:f>
        <x:v>Large Reporting Load</x:v>
      </x:c>
      <x:c r="L11" s="47" t="str">
        <x:v>Director of Facilities</x:v>
      </x:c>
      <x:c r="M11" s="47" t="str">
        <x:v>Energy and Sustainability Manager</x:v>
      </x:c>
      <x:c r="N11" s="47" t="str">
        <x:v>Role identified; person not yet verified</x:v>
      </x:c>
      <x:c r="O11" s="47" t="str">
        <x:v>Facilities and Institutions</x:v>
      </x:c>
      <x:c r="P11" s="47" t="str">
        <x:v>Sales Rep A - Massachusetts</x:v>
      </x:c>
      <x:c r="Q11" s="47" t="str">
        <x:v>https://www.epa.gov/ghgreporting/data-sets</x:v>
      </x:c>
      <x:c r="R11" s="44" t="n">
        <x:v>1001289</x:v>
      </x:c>
      <x:c r="S11" s="45" t="n">
        <x:f>VLOOKUP(H11,'Rules and Assumptions'!$A$5:$B$10,2,FALSE)</x:f>
        <x:v>20</x:v>
      </x:c>
      <x:c r="T11" s="45" t="n">
        <x:f>VLOOKUP(E11,'Rules and Assumptions'!$D$5:$F$15,2,FALSE)</x:f>
        <x:v>22</x:v>
      </x:c>
      <x:c r="U11" s="45" t="n">
        <x:f>VLOOKUP(J11,'Rules and Assumptions'!$H$5:$J$9,2,TRUE)</x:f>
        <x:v>20</x:v>
      </x:c>
      <x:c r="V11" s="45" t="n">
        <x:f>IF(D11&lt;&gt;"",4,0)+IF(F11&lt;&gt;"",2,0)+IF(G11&lt;&gt;"",1,0)+IF(L11&lt;&gt;"",2,0)+IF(R11&lt;&gt;"",1,0)</x:f>
        <x:v>10</x:v>
      </x:c>
      <x:c r="W11" s="45" t="n">
        <x:f>VLOOKUP(E11,'Rules and Assumptions'!$D$5:$F$15,3,FALSE)</x:f>
        <x:v>10</x:v>
      </x:c>
      <x:c r="X11" s="45" t="n">
        <x:f>SUM(S11:W11)</x:f>
        <x:v>82</x:v>
      </x:c>
      <x:c r="Y11" s="45" t="n">
        <x:f>RANK.EQ(X11,$X$5:$X$164,0)+COUNTIF($X$5:X11,X11)-1</x:f>
        <x:v>7</x:v>
      </x:c>
      <x:c r="Z11" s="43" t="str">
        <x:f>IF(Y11&lt;='Rules and Assumptions'!$M$5,"High",IF(Y11&lt;='Rules and Assumptions'!$M$6,"Medium","Low"))</x:f>
        <x:v>High</x:v>
      </x:c>
      <x:c r="AA11" s="43" t="str">
        <x:f>LOWER(TRIM(B11))</x:f>
        <x:v>ghgrp-1001289</x:v>
      </x:c>
      <x:c r="AB11" s="43" t="str">
        <x:f>IF(COUNTIF($AA$5:$AA$164,AA11)&gt;1,"Review","Unique")</x:f>
        <x:v>Unique</x:v>
      </x:c>
      <x:c r="AC11" s="47" t="str">
        <x:v>General commercial or institutional facility; validate site portfolio and purchasing authority.</x:v>
      </x:c>
      <x:c r="AD11" s="46" t="n">
        <x:v>45520</x:v>
      </x:c>
    </x:row>
    <x:row r="12">
      <x:c r="A12" s="41" t="str">
        <x:v>NE-008</x:v>
      </x:c>
      <x:c r="B12" s="41" t="str">
        <x:v>GHGRP-1005136</x:v>
      </x:c>
      <x:c r="C12" s="47" t="str">
        <x:v>UMASS PHYSICAL PLANT BUILDING - Amherst, MA</x:v>
      </x:c>
      <x:c r="D12" s="47" t="str">
        <x:v>UNIVERSITY OF MASSACHUSETTS</x:v>
      </x:c>
      <x:c r="E12" s="47" t="str">
        <x:v>Other</x:v>
      </x:c>
      <x:c r="F12" s="41" t="str">
        <x:v>611310</x:v>
      </x:c>
      <x:c r="G12" s="41" t="str">
        <x:v>Amherst</x:v>
      </x:c>
      <x:c r="H12" s="41" t="str">
        <x:v>MA</x:v>
      </x:c>
      <x:c r="I12" s="41" t="str">
        <x:v>01003</x:v>
      </x:c>
      <x:c r="J12" s="42" t="n">
        <x:v>103468.332</x:v>
      </x:c>
      <x:c r="K12" s="43" t="str">
        <x:f>VLOOKUP(J12,'Rules and Assumptions'!$H$5:$J$9,3,TRUE)</x:f>
        <x:v>Large Reporting Load</x:v>
      </x:c>
      <x:c r="L12" s="47" t="str">
        <x:v>Director of Facilities</x:v>
      </x:c>
      <x:c r="M12" s="47" t="str">
        <x:v>Energy and Sustainability Manager</x:v>
      </x:c>
      <x:c r="N12" s="47" t="str">
        <x:v>Role identified; person not yet verified</x:v>
      </x:c>
      <x:c r="O12" s="47" t="str">
        <x:v>Facilities and Institutions</x:v>
      </x:c>
      <x:c r="P12" s="47" t="str">
        <x:v>Sales Rep A - Massachusetts</x:v>
      </x:c>
      <x:c r="Q12" s="47" t="str">
        <x:v>https://www.epa.gov/ghgreporting/data-sets</x:v>
      </x:c>
      <x:c r="R12" s="44" t="n">
        <x:v>1005136</x:v>
      </x:c>
      <x:c r="S12" s="45" t="n">
        <x:f>VLOOKUP(H12,'Rules and Assumptions'!$A$5:$B$10,2,FALSE)</x:f>
        <x:v>20</x:v>
      </x:c>
      <x:c r="T12" s="45" t="n">
        <x:f>VLOOKUP(E12,'Rules and Assumptions'!$D$5:$F$15,2,FALSE)</x:f>
        <x:v>22</x:v>
      </x:c>
      <x:c r="U12" s="45" t="n">
        <x:f>VLOOKUP(J12,'Rules and Assumptions'!$H$5:$J$9,2,TRUE)</x:f>
        <x:v>20</x:v>
      </x:c>
      <x:c r="V12" s="45" t="n">
        <x:f>IF(D12&lt;&gt;"",4,0)+IF(F12&lt;&gt;"",2,0)+IF(G12&lt;&gt;"",1,0)+IF(L12&lt;&gt;"",2,0)+IF(R12&lt;&gt;"",1,0)</x:f>
        <x:v>10</x:v>
      </x:c>
      <x:c r="W12" s="45" t="n">
        <x:f>VLOOKUP(E12,'Rules and Assumptions'!$D$5:$F$15,3,FALSE)</x:f>
        <x:v>10</x:v>
      </x:c>
      <x:c r="X12" s="45" t="n">
        <x:f>SUM(S12:W12)</x:f>
        <x:v>82</x:v>
      </x:c>
      <x:c r="Y12" s="45" t="n">
        <x:f>RANK.EQ(X12,$X$5:$X$164,0)+COUNTIF($X$5:X12,X12)-1</x:f>
        <x:v>8</x:v>
      </x:c>
      <x:c r="Z12" s="43" t="str">
        <x:f>IF(Y12&lt;='Rules and Assumptions'!$M$5,"High",IF(Y12&lt;='Rules and Assumptions'!$M$6,"Medium","Low"))</x:f>
        <x:v>High</x:v>
      </x:c>
      <x:c r="AA12" s="43" t="str">
        <x:f>LOWER(TRIM(B12))</x:f>
        <x:v>ghgrp-1005136</x:v>
      </x:c>
      <x:c r="AB12" s="43" t="str">
        <x:f>IF(COUNTIF($AA$5:$AA$164,AA12)&gt;1,"Review","Unique")</x:f>
        <x:v>Unique</x:v>
      </x:c>
      <x:c r="AC12" s="47" t="str">
        <x:v>General commercial or institutional facility; validate site portfolio and purchasing authority.</x:v>
      </x:c>
      <x:c r="AD12" s="46" t="n">
        <x:v>45520</x:v>
      </x:c>
    </x:row>
    <x:row r="13">
      <x:c r="A13" s="41" t="str">
        <x:v>NE-009</x:v>
      </x:c>
      <x:c r="B13" s="41" t="str">
        <x:v>GHGRP-1003488</x:v>
      </x:c>
      <x:c r="C13" s="47" t="str">
        <x:v>RAND-WHITNEY CONTAINERBOARD LP - Montville, CT</x:v>
      </x:c>
      <x:c r="D13" s="47" t="str">
        <x:v>THE KRAFT GROUP</x:v>
      </x:c>
      <x:c r="E13" s="47" t="str">
        <x:v>Pulp and Paper</x:v>
      </x:c>
      <x:c r="F13" s="41" t="str">
        <x:v>322130</x:v>
      </x:c>
      <x:c r="G13" s="41" t="str">
        <x:v>Montville</x:v>
      </x:c>
      <x:c r="H13" s="41" t="str">
        <x:v>CT</x:v>
      </x:c>
      <x:c r="I13" s="41" t="str">
        <x:v>06353</x:v>
      </x:c>
      <x:c r="J13" s="42" t="n">
        <x:v>92176.752</x:v>
      </x:c>
      <x:c r="K13" s="43" t="str">
        <x:f>VLOOKUP(J13,'Rules and Assumptions'!$H$5:$J$9,3,TRUE)</x:f>
        <x:v>Mid Reporting Load</x:v>
      </x:c>
      <x:c r="L13" s="47" t="str">
        <x:v>Energy Manager</x:v>
      </x:c>
      <x:c r="M13" s="47" t="str">
        <x:v>Director of Procurement</x:v>
      </x:c>
      <x:c r="N13" s="47" t="str">
        <x:v>Role identified; person not yet verified</x:v>
      </x:c>
      <x:c r="O13" s="47" t="str">
        <x:v>Industrial High-Load</x:v>
      </x:c>
      <x:c r="P13" s="47" t="str">
        <x:v>Sales Rep B - Connecticut/Rhode Island</x:v>
      </x:c>
      <x:c r="Q13" s="47" t="str">
        <x:v>https://www.epa.gov/ghgreporting/data-sets</x:v>
      </x:c>
      <x:c r="R13" s="44" t="n">
        <x:v>1003488</x:v>
      </x:c>
      <x:c r="S13" s="45" t="n">
        <x:f>VLOOKUP(H13,'Rules and Assumptions'!$A$5:$B$10,2,FALSE)</x:f>
        <x:v>16</x:v>
      </x:c>
      <x:c r="T13" s="45" t="n">
        <x:f>VLOOKUP(E13,'Rules and Assumptions'!$D$5:$F$15,2,FALSE)</x:f>
        <x:v>30</x:v>
      </x:c>
      <x:c r="U13" s="45" t="n">
        <x:f>VLOOKUP(J13,'Rules and Assumptions'!$H$5:$J$9,2,TRUE)</x:f>
        <x:v>15</x:v>
      </x:c>
      <x:c r="V13" s="45" t="n">
        <x:f>IF(D13&lt;&gt;"",4,0)+IF(F13&lt;&gt;"",2,0)+IF(G13&lt;&gt;"",1,0)+IF(L13&lt;&gt;"",2,0)+IF(R13&lt;&gt;"",1,0)</x:f>
        <x:v>10</x:v>
      </x:c>
      <x:c r="W13" s="45" t="n">
        <x:f>VLOOKUP(E13,'Rules and Assumptions'!$D$5:$F$15,3,FALSE)</x:f>
        <x:v>10</x:v>
      </x:c>
      <x:c r="X13" s="45" t="n">
        <x:f>SUM(S13:W13)</x:f>
        <x:v>81</x:v>
      </x:c>
      <x:c r="Y13" s="45" t="n">
        <x:f>RANK.EQ(X13,$X$5:$X$164,0)+COUNTIF($X$5:X13,X13)-1</x:f>
        <x:v>9</x:v>
      </x:c>
      <x:c r="Z13" s="43" t="str">
        <x:f>IF(Y13&lt;='Rules and Assumptions'!$M$5,"High",IF(Y13&lt;='Rules and Assumptions'!$M$6,"Medium","Low"))</x:f>
        <x:v>High</x:v>
      </x:c>
      <x:c r="AA13" s="43" t="str">
        <x:f>LOWER(TRIM(B13))</x:f>
        <x:v>ghgrp-1003488</x:v>
      </x:c>
      <x:c r="AB13" s="43" t="str">
        <x:f>IF(COUNTIF($AA$5:$AA$164,AA13)&gt;1,"Review","Unique")</x:f>
        <x:v>Unique</x:v>
      </x:c>
      <x:c r="AC13" s="47" t="str">
        <x:v>High-load manufacturing prospect with a clear energy-management and procurement use case.</x:v>
      </x:c>
      <x:c r="AD13" s="46" t="n">
        <x:v>45520</x:v>
      </x:c>
    </x:row>
    <x:row r="14">
      <x:c r="A14" s="41" t="str">
        <x:v>NE-010</x:v>
      </x:c>
      <x:c r="B14" s="41" t="str">
        <x:v>GHGRP-1004283</x:v>
      </x:c>
      <x:c r="C14" s="47" t="str">
        <x:v>Wheelabrator Bridgeport L.P. - Bridgeport, CT</x:v>
      </x:c>
      <x:c r="D14" s="47" t="str">
        <x:v>WHEELABRATOR TECHNOLOGIES HOLDINGS INC</x:v>
      </x:c>
      <x:c r="E14" s="47" t="str">
        <x:v>Waste</x:v>
      </x:c>
      <x:c r="F14" s="41" t="str">
        <x:v>562213</x:v>
      </x:c>
      <x:c r="G14" s="41" t="str">
        <x:v>Bridgeport</x:v>
      </x:c>
      <x:c r="H14" s="41" t="str">
        <x:v>CT</x:v>
      </x:c>
      <x:c r="I14" s="41" t="str">
        <x:v>06605</x:v>
      </x:c>
      <x:c r="J14" s="42" t="n">
        <x:v>309543.362</x:v>
      </x:c>
      <x:c r="K14" s="43" t="str">
        <x:f>VLOOKUP(J14,'Rules and Assumptions'!$H$5:$J$9,3,TRUE)</x:f>
        <x:v>Very Large Reporting Load</x:v>
      </x:c>
      <x:c r="L14" s="47" t="str">
        <x:v>Director of Operations</x:v>
      </x:c>
      <x:c r="M14" s="47" t="str">
        <x:v>Facilities Manager</x:v>
      </x:c>
      <x:c r="N14" s="47" t="str">
        <x:v>Role identified; person not yet verified</x:v>
      </x:c>
      <x:c r="O14" s="47" t="str">
        <x:v>Waste and Environmental</x:v>
      </x:c>
      <x:c r="P14" s="47" t="str">
        <x:v>Sales Rep B - Connecticut/Rhode Island</x:v>
      </x:c>
      <x:c r="Q14" s="47" t="str">
        <x:v>https://www.epa.gov/ghgreporting/data-sets</x:v>
      </x:c>
      <x:c r="R14" s="44" t="n">
        <x:v>1004283</x:v>
      </x:c>
      <x:c r="S14" s="45" t="n">
        <x:f>VLOOKUP(H14,'Rules and Assumptions'!$A$5:$B$10,2,FALSE)</x:f>
        <x:v>16</x:v>
      </x:c>
      <x:c r="T14" s="45" t="n">
        <x:f>VLOOKUP(E14,'Rules and Assumptions'!$D$5:$F$15,2,FALSE)</x:f>
        <x:v>20</x:v>
      </x:c>
      <x:c r="U14" s="45" t="n">
        <x:f>VLOOKUP(J14,'Rules and Assumptions'!$H$5:$J$9,2,TRUE)</x:f>
        <x:v>25</x:v>
      </x:c>
      <x:c r="V14" s="45" t="n">
        <x:f>IF(D14&lt;&gt;"",4,0)+IF(F14&lt;&gt;"",2,0)+IF(G14&lt;&gt;"",1,0)+IF(L14&lt;&gt;"",2,0)+IF(R14&lt;&gt;"",1,0)</x:f>
        <x:v>10</x:v>
      </x:c>
      <x:c r="W14" s="45" t="n">
        <x:f>VLOOKUP(E14,'Rules and Assumptions'!$D$5:$F$15,3,FALSE)</x:f>
        <x:v>9</x:v>
      </x:c>
      <x:c r="X14" s="45" t="n">
        <x:f>SUM(S14:W14)</x:f>
        <x:v>80</x:v>
      </x:c>
      <x:c r="Y14" s="45" t="n">
        <x:f>RANK.EQ(X14,$X$5:$X$164,0)+COUNTIF($X$5:X14,X14)-1</x:f>
        <x:v>10</x:v>
      </x:c>
      <x:c r="Z14" s="43" t="str">
        <x:f>IF(Y14&lt;='Rules and Assumptions'!$M$5,"High",IF(Y14&lt;='Rules and Assumptions'!$M$6,"Medium","Low"))</x:f>
        <x:v>High</x:v>
      </x:c>
      <x:c r="AA14" s="43" t="str">
        <x:f>LOWER(TRIM(B14))</x:f>
        <x:v>ghgrp-1004283</x:v>
      </x:c>
      <x:c r="AB14" s="43" t="str">
        <x:f>IF(COUNTIF($AA$5:$AA$164,AA14)&gt;1,"Review","Unique")</x:f>
        <x:v>Unique</x:v>
      </x:c>
      <x:c r="AC14" s="47" t="str">
        <x:v>Waste-sector facility; qualify electricity, natural-gas, and multi-site purchasing needs.</x:v>
      </x:c>
      <x:c r="AD14" s="46" t="n">
        <x:v>45520</x:v>
      </x:c>
    </x:row>
    <x:row r="15">
      <x:c r="A15" s="41" t="str">
        <x:v>NE-011</x:v>
      </x:c>
      <x:c r="B15" s="41" t="str">
        <x:v>GHGRP-1005037</x:v>
      </x:c>
      <x:c r="C15" s="47" t="str">
        <x:v>ERVING PAPER MILLS INC - Erving, MA</x:v>
      </x:c>
      <x:c r="D15" s="47" t="str">
        <x:v>ERVING INDUSTRIES INC</x:v>
      </x:c>
      <x:c r="E15" s="47" t="str">
        <x:v>Pulp and Paper</x:v>
      </x:c>
      <x:c r="F15" s="41" t="str">
        <x:v>322120</x:v>
      </x:c>
      <x:c r="G15" s="41" t="str">
        <x:v>Erving</x:v>
      </x:c>
      <x:c r="H15" s="41" t="str">
        <x:v>MA</x:v>
      </x:c>
      <x:c r="I15" s="41" t="str">
        <x:v>01344</x:v>
      </x:c>
      <x:c r="J15" s="42" t="n">
        <x:v>34874.012</x:v>
      </x:c>
      <x:c r="K15" s="43" t="str">
        <x:f>VLOOKUP(J15,'Rules and Assumptions'!$H$5:$J$9,3,TRUE)</x:f>
        <x:v>Small Reporting Load</x:v>
      </x:c>
      <x:c r="L15" s="47" t="str">
        <x:v>Energy Manager</x:v>
      </x:c>
      <x:c r="M15" s="47" t="str">
        <x:v>Director of Procurement</x:v>
      </x:c>
      <x:c r="N15" s="47" t="str">
        <x:v>Role identified; person not yet verified</x:v>
      </x:c>
      <x:c r="O15" s="47" t="str">
        <x:v>Industrial High-Load</x:v>
      </x:c>
      <x:c r="P15" s="47" t="str">
        <x:v>Sales Rep A - Massachusetts</x:v>
      </x:c>
      <x:c r="Q15" s="47" t="str">
        <x:v>https://www.epa.gov/ghgreporting/data-sets</x:v>
      </x:c>
      <x:c r="R15" s="44" t="n">
        <x:v>1005037</x:v>
      </x:c>
      <x:c r="S15" s="45" t="n">
        <x:f>VLOOKUP(H15,'Rules and Assumptions'!$A$5:$B$10,2,FALSE)</x:f>
        <x:v>20</x:v>
      </x:c>
      <x:c r="T15" s="45" t="n">
        <x:f>VLOOKUP(E15,'Rules and Assumptions'!$D$5:$F$15,2,FALSE)</x:f>
        <x:v>30</x:v>
      </x:c>
      <x:c r="U15" s="45" t="n">
        <x:f>VLOOKUP(J15,'Rules and Assumptions'!$H$5:$J$9,2,TRUE)</x:f>
        <x:v>10</x:v>
      </x:c>
      <x:c r="V15" s="45" t="n">
        <x:f>IF(D15&lt;&gt;"",4,0)+IF(F15&lt;&gt;"",2,0)+IF(G15&lt;&gt;"",1,0)+IF(L15&lt;&gt;"",2,0)+IF(R15&lt;&gt;"",1,0)</x:f>
        <x:v>10</x:v>
      </x:c>
      <x:c r="W15" s="45" t="n">
        <x:f>VLOOKUP(E15,'Rules and Assumptions'!$D$5:$F$15,3,FALSE)</x:f>
        <x:v>10</x:v>
      </x:c>
      <x:c r="X15" s="45" t="n">
        <x:f>SUM(S15:W15)</x:f>
        <x:v>80</x:v>
      </x:c>
      <x:c r="Y15" s="45" t="n">
        <x:f>RANK.EQ(X15,$X$5:$X$164,0)+COUNTIF($X$5:X15,X15)-1</x:f>
        <x:v>11</x:v>
      </x:c>
      <x:c r="Z15" s="43" t="str">
        <x:f>IF(Y15&lt;='Rules and Assumptions'!$M$5,"High",IF(Y15&lt;='Rules and Assumptions'!$M$6,"Medium","Low"))</x:f>
        <x:v>High</x:v>
      </x:c>
      <x:c r="AA15" s="43" t="str">
        <x:f>LOWER(TRIM(B15))</x:f>
        <x:v>ghgrp-1005037</x:v>
      </x:c>
      <x:c r="AB15" s="43" t="str">
        <x:f>IF(COUNTIF($AA$5:$AA$164,AA15)&gt;1,"Review","Unique")</x:f>
        <x:v>Unique</x:v>
      </x:c>
      <x:c r="AC15" s="47" t="str">
        <x:v>High-load manufacturing prospect with a clear energy-management and procurement use case.</x:v>
      </x:c>
      <x:c r="AD15" s="46" t="n">
        <x:v>45520</x:v>
      </x:c>
    </x:row>
    <x:row r="16">
      <x:c r="A16" s="41" t="str">
        <x:v>NE-012</x:v>
      </x:c>
      <x:c r="B16" s="41" t="str">
        <x:v>GHGRP-1005970</x:v>
      </x:c>
      <x:c r="C16" s="47" t="str">
        <x:v>NEWARK AMERICA - Fitchburg, MA</x:v>
      </x:c>
      <x:c r="D16" s="47" t="str">
        <x:v>GREIF INC</x:v>
      </x:c>
      <x:c r="E16" s="47" t="str">
        <x:v>Pulp and Paper</x:v>
      </x:c>
      <x:c r="F16" s="41" t="str">
        <x:v>322130</x:v>
      </x:c>
      <x:c r="G16" s="41" t="str">
        <x:v>Fitchburg</x:v>
      </x:c>
      <x:c r="H16" s="41" t="str">
        <x:v>MA</x:v>
      </x:c>
      <x:c r="I16" s="41" t="str">
        <x:v>01420</x:v>
      </x:c>
      <x:c r="J16" s="42" t="n">
        <x:v>23287.812</x:v>
      </x:c>
      <x:c r="K16" s="43" t="str">
        <x:f>VLOOKUP(J16,'Rules and Assumptions'!$H$5:$J$9,3,TRUE)</x:f>
        <x:v>Small Reporting Load</x:v>
      </x:c>
      <x:c r="L16" s="47" t="str">
        <x:v>Energy Manager</x:v>
      </x:c>
      <x:c r="M16" s="47" t="str">
        <x:v>Director of Procurement</x:v>
      </x:c>
      <x:c r="N16" s="47" t="str">
        <x:v>Role identified; person not yet verified</x:v>
      </x:c>
      <x:c r="O16" s="47" t="str">
        <x:v>Industrial High-Load</x:v>
      </x:c>
      <x:c r="P16" s="47" t="str">
        <x:v>Sales Rep A - Massachusetts</x:v>
      </x:c>
      <x:c r="Q16" s="47" t="str">
        <x:v>https://www.epa.gov/ghgreporting/data-sets</x:v>
      </x:c>
      <x:c r="R16" s="44" t="n">
        <x:v>1005970</x:v>
      </x:c>
      <x:c r="S16" s="45" t="n">
        <x:f>VLOOKUP(H16,'Rules and Assumptions'!$A$5:$B$10,2,FALSE)</x:f>
        <x:v>20</x:v>
      </x:c>
      <x:c r="T16" s="45" t="n">
        <x:f>VLOOKUP(E16,'Rules and Assumptions'!$D$5:$F$15,2,FALSE)</x:f>
        <x:v>30</x:v>
      </x:c>
      <x:c r="U16" s="45" t="n">
        <x:f>VLOOKUP(J16,'Rules and Assumptions'!$H$5:$J$9,2,TRUE)</x:f>
        <x:v>10</x:v>
      </x:c>
      <x:c r="V16" s="45" t="n">
        <x:f>IF(D16&lt;&gt;"",4,0)+IF(F16&lt;&gt;"",2,0)+IF(G16&lt;&gt;"",1,0)+IF(L16&lt;&gt;"",2,0)+IF(R16&lt;&gt;"",1,0)</x:f>
        <x:v>10</x:v>
      </x:c>
      <x:c r="W16" s="45" t="n">
        <x:f>VLOOKUP(E16,'Rules and Assumptions'!$D$5:$F$15,3,FALSE)</x:f>
        <x:v>10</x:v>
      </x:c>
      <x:c r="X16" s="45" t="n">
        <x:f>SUM(S16:W16)</x:f>
        <x:v>80</x:v>
      </x:c>
      <x:c r="Y16" s="45" t="n">
        <x:f>RANK.EQ(X16,$X$5:$X$164,0)+COUNTIF($X$5:X16,X16)-1</x:f>
        <x:v>12</x:v>
      </x:c>
      <x:c r="Z16" s="43" t="str">
        <x:f>IF(Y16&lt;='Rules and Assumptions'!$M$5,"High",IF(Y16&lt;='Rules and Assumptions'!$M$6,"Medium","Low"))</x:f>
        <x:v>High</x:v>
      </x:c>
      <x:c r="AA16" s="43" t="str">
        <x:f>LOWER(TRIM(B16))</x:f>
        <x:v>ghgrp-1005970</x:v>
      </x:c>
      <x:c r="AB16" s="43" t="str">
        <x:f>IF(COUNTIF($AA$5:$AA$164,AA16)&gt;1,"Review","Unique")</x:f>
        <x:v>Unique</x:v>
      </x:c>
      <x:c r="AC16" s="47" t="str">
        <x:v>High-load manufacturing prospect with a clear energy-management and procurement use case.</x:v>
      </x:c>
      <x:c r="AD16" s="46" t="n">
        <x:v>45520</x:v>
      </x:c>
    </x:row>
    <x:row r="17">
      <x:c r="A17" s="41" t="str">
        <x:v>NE-013</x:v>
      </x:c>
      <x:c r="B17" s="41" t="str">
        <x:v>GHGRP-1005179</x:v>
      </x:c>
      <x:c r="C17" s="47" t="str">
        <x:v>COVANTA HAVERHILL INC - Haverhill, MA</x:v>
      </x:c>
      <x:c r="D17" s="47" t="str">
        <x:v>COVANTA HOLDING CORP</x:v>
      </x:c>
      <x:c r="E17" s="47" t="str">
        <x:v>Waste</x:v>
      </x:c>
      <x:c r="F17" s="41" t="str">
        <x:v>562213</x:v>
      </x:c>
      <x:c r="G17" s="41" t="str">
        <x:v>Haverhill</x:v>
      </x:c>
      <x:c r="H17" s="41" t="str">
        <x:v>MA</x:v>
      </x:c>
      <x:c r="I17" s="41" t="str">
        <x:v>01835</x:v>
      </x:c>
      <x:c r="J17" s="42" t="n">
        <x:v>235182.938</x:v>
      </x:c>
      <x:c r="K17" s="43" t="str">
        <x:f>VLOOKUP(J17,'Rules and Assumptions'!$H$5:$J$9,3,TRUE)</x:f>
        <x:v>Large Reporting Load</x:v>
      </x:c>
      <x:c r="L17" s="47" t="str">
        <x:v>Director of Operations</x:v>
      </x:c>
      <x:c r="M17" s="47" t="str">
        <x:v>Facilities Manager</x:v>
      </x:c>
      <x:c r="N17" s="47" t="str">
        <x:v>Role identified; person not yet verified</x:v>
      </x:c>
      <x:c r="O17" s="47" t="str">
        <x:v>Waste and Environmental</x:v>
      </x:c>
      <x:c r="P17" s="47" t="str">
        <x:v>Sales Rep A - Massachusetts</x:v>
      </x:c>
      <x:c r="Q17" s="47" t="str">
        <x:v>https://www.epa.gov/ghgreporting/data-sets</x:v>
      </x:c>
      <x:c r="R17" s="44" t="n">
        <x:v>1005179</x:v>
      </x:c>
      <x:c r="S17" s="45" t="n">
        <x:f>VLOOKUP(H17,'Rules and Assumptions'!$A$5:$B$10,2,FALSE)</x:f>
        <x:v>20</x:v>
      </x:c>
      <x:c r="T17" s="45" t="n">
        <x:f>VLOOKUP(E17,'Rules and Assumptions'!$D$5:$F$15,2,FALSE)</x:f>
        <x:v>20</x:v>
      </x:c>
      <x:c r="U17" s="45" t="n">
        <x:f>VLOOKUP(J17,'Rules and Assumptions'!$H$5:$J$9,2,TRUE)</x:f>
        <x:v>20</x:v>
      </x:c>
      <x:c r="V17" s="45" t="n">
        <x:f>IF(D17&lt;&gt;"",4,0)+IF(F17&lt;&gt;"",2,0)+IF(G17&lt;&gt;"",1,0)+IF(L17&lt;&gt;"",2,0)+IF(R17&lt;&gt;"",1,0)</x:f>
        <x:v>10</x:v>
      </x:c>
      <x:c r="W17" s="45" t="n">
        <x:f>VLOOKUP(E17,'Rules and Assumptions'!$D$5:$F$15,3,FALSE)</x:f>
        <x:v>9</x:v>
      </x:c>
      <x:c r="X17" s="45" t="n">
        <x:f>SUM(S17:W17)</x:f>
        <x:v>79</x:v>
      </x:c>
      <x:c r="Y17" s="45" t="n">
        <x:f>RANK.EQ(X17,$X$5:$X$164,0)+COUNTIF($X$5:X17,X17)-1</x:f>
        <x:v>13</x:v>
      </x:c>
      <x:c r="Z17" s="43" t="str">
        <x:f>IF(Y17&lt;='Rules and Assumptions'!$M$5,"High",IF(Y17&lt;='Rules and Assumptions'!$M$6,"Medium","Low"))</x:f>
        <x:v>High</x:v>
      </x:c>
      <x:c r="AA17" s="43" t="str">
        <x:f>LOWER(TRIM(B17))</x:f>
        <x:v>ghgrp-1005179</x:v>
      </x:c>
      <x:c r="AB17" s="43" t="str">
        <x:f>IF(COUNTIF($AA$5:$AA$164,AA17)&gt;1,"Review","Unique")</x:f>
        <x:v>Unique</x:v>
      </x:c>
      <x:c r="AC17" s="47" t="str">
        <x:v>Waste-sector facility; qualify electricity, natural-gas, and multi-site purchasing needs.</x:v>
      </x:c>
      <x:c r="AD17" s="46" t="n">
        <x:v>45520</x:v>
      </x:c>
    </x:row>
    <x:row r="18">
      <x:c r="A18" s="41" t="str">
        <x:v>NE-014</x:v>
      </x:c>
      <x:c r="B18" s="41" t="str">
        <x:v>GHGRP-1006267</x:v>
      </x:c>
      <x:c r="C18" s="47" t="str">
        <x:v>WHEELABRATOR MILLBURY INC - Millbury, MA</x:v>
      </x:c>
      <x:c r="D18" s="47" t="str">
        <x:v>WHEELABRATOR TECHNOLOGIES HOLDINGS INC</x:v>
      </x:c>
      <x:c r="E18" s="47" t="str">
        <x:v>Waste</x:v>
      </x:c>
      <x:c r="F18" s="41" t="str">
        <x:v>562213</x:v>
      </x:c>
      <x:c r="G18" s="41" t="str">
        <x:v>Millbury</x:v>
      </x:c>
      <x:c r="H18" s="41" t="str">
        <x:v>MA</x:v>
      </x:c>
      <x:c r="I18" s="41" t="str">
        <x:v>01527</x:v>
      </x:c>
      <x:c r="J18" s="42" t="n">
        <x:v>215001.77</x:v>
      </x:c>
      <x:c r="K18" s="43" t="str">
        <x:f>VLOOKUP(J18,'Rules and Assumptions'!$H$5:$J$9,3,TRUE)</x:f>
        <x:v>Large Reporting Load</x:v>
      </x:c>
      <x:c r="L18" s="47" t="str">
        <x:v>Director of Operations</x:v>
      </x:c>
      <x:c r="M18" s="47" t="str">
        <x:v>Facilities Manager</x:v>
      </x:c>
      <x:c r="N18" s="47" t="str">
        <x:v>Role identified; person not yet verified</x:v>
      </x:c>
      <x:c r="O18" s="47" t="str">
        <x:v>Waste and Environmental</x:v>
      </x:c>
      <x:c r="P18" s="47" t="str">
        <x:v>Sales Rep A - Massachusetts</x:v>
      </x:c>
      <x:c r="Q18" s="47" t="str">
        <x:v>https://www.epa.gov/ghgreporting/data-sets</x:v>
      </x:c>
      <x:c r="R18" s="44" t="n">
        <x:v>1006267</x:v>
      </x:c>
      <x:c r="S18" s="45" t="n">
        <x:f>VLOOKUP(H18,'Rules and Assumptions'!$A$5:$B$10,2,FALSE)</x:f>
        <x:v>20</x:v>
      </x:c>
      <x:c r="T18" s="45" t="n">
        <x:f>VLOOKUP(E18,'Rules and Assumptions'!$D$5:$F$15,2,FALSE)</x:f>
        <x:v>20</x:v>
      </x:c>
      <x:c r="U18" s="45" t="n">
        <x:f>VLOOKUP(J18,'Rules and Assumptions'!$H$5:$J$9,2,TRUE)</x:f>
        <x:v>20</x:v>
      </x:c>
      <x:c r="V18" s="45" t="n">
        <x:f>IF(D18&lt;&gt;"",4,0)+IF(F18&lt;&gt;"",2,0)+IF(G18&lt;&gt;"",1,0)+IF(L18&lt;&gt;"",2,0)+IF(R18&lt;&gt;"",1,0)</x:f>
        <x:v>10</x:v>
      </x:c>
      <x:c r="W18" s="45" t="n">
        <x:f>VLOOKUP(E18,'Rules and Assumptions'!$D$5:$F$15,3,FALSE)</x:f>
        <x:v>9</x:v>
      </x:c>
      <x:c r="X18" s="45" t="n">
        <x:f>SUM(S18:W18)</x:f>
        <x:v>79</x:v>
      </x:c>
      <x:c r="Y18" s="45" t="n">
        <x:f>RANK.EQ(X18,$X$5:$X$164,0)+COUNTIF($X$5:X18,X18)-1</x:f>
        <x:v>14</x:v>
      </x:c>
      <x:c r="Z18" s="43" t="str">
        <x:f>IF(Y18&lt;='Rules and Assumptions'!$M$5,"High",IF(Y18&lt;='Rules and Assumptions'!$M$6,"Medium","Low"))</x:f>
        <x:v>High</x:v>
      </x:c>
      <x:c r="AA18" s="43" t="str">
        <x:f>LOWER(TRIM(B18))</x:f>
        <x:v>ghgrp-1006267</x:v>
      </x:c>
      <x:c r="AB18" s="43" t="str">
        <x:f>IF(COUNTIF($AA$5:$AA$164,AA18)&gt;1,"Review","Unique")</x:f>
        <x:v>Unique</x:v>
      </x:c>
      <x:c r="AC18" s="47" t="str">
        <x:v>Waste-sector facility; qualify electricity, natural-gas, and multi-site purchasing needs.</x:v>
      </x:c>
      <x:c r="AD18" s="46" t="n">
        <x:v>45520</x:v>
      </x:c>
    </x:row>
    <x:row r="19">
      <x:c r="A19" s="41" t="str">
        <x:v>NE-015</x:v>
      </x:c>
      <x:c r="B19" s="41" t="str">
        <x:v>GHGRP-1004101</x:v>
      </x:c>
      <x:c r="C19" s="47" t="str">
        <x:v>WHEELABRATOR NORTH ANDOVER INC. - North Andover, MA</x:v>
      </x:c>
      <x:c r="D19" s="47" t="str">
        <x:v>WHEELABRATOR TECHNOLOGIES HOLDINGS INC</x:v>
      </x:c>
      <x:c r="E19" s="47" t="str">
        <x:v>Waste</x:v>
      </x:c>
      <x:c r="F19" s="41" t="str">
        <x:v>562213</x:v>
      </x:c>
      <x:c r="G19" s="41" t="str">
        <x:v>North Andover</x:v>
      </x:c>
      <x:c r="H19" s="41" t="str">
        <x:v>MA</x:v>
      </x:c>
      <x:c r="I19" s="41" t="str">
        <x:v>01845</x:v>
      </x:c>
      <x:c r="J19" s="42" t="n">
        <x:v>200789.514</x:v>
      </x:c>
      <x:c r="K19" s="43" t="str">
        <x:f>VLOOKUP(J19,'Rules and Assumptions'!$H$5:$J$9,3,TRUE)</x:f>
        <x:v>Large Reporting Load</x:v>
      </x:c>
      <x:c r="L19" s="47" t="str">
        <x:v>Director of Operations</x:v>
      </x:c>
      <x:c r="M19" s="47" t="str">
        <x:v>Facilities Manager</x:v>
      </x:c>
      <x:c r="N19" s="47" t="str">
        <x:v>Role identified; person not yet verified</x:v>
      </x:c>
      <x:c r="O19" s="47" t="str">
        <x:v>Waste and Environmental</x:v>
      </x:c>
      <x:c r="P19" s="47" t="str">
        <x:v>Sales Rep A - Massachusetts</x:v>
      </x:c>
      <x:c r="Q19" s="47" t="str">
        <x:v>https://www.epa.gov/ghgreporting/data-sets</x:v>
      </x:c>
      <x:c r="R19" s="44" t="n">
        <x:v>1004101</x:v>
      </x:c>
      <x:c r="S19" s="45" t="n">
        <x:f>VLOOKUP(H19,'Rules and Assumptions'!$A$5:$B$10,2,FALSE)</x:f>
        <x:v>20</x:v>
      </x:c>
      <x:c r="T19" s="45" t="n">
        <x:f>VLOOKUP(E19,'Rules and Assumptions'!$D$5:$F$15,2,FALSE)</x:f>
        <x:v>20</x:v>
      </x:c>
      <x:c r="U19" s="45" t="n">
        <x:f>VLOOKUP(J19,'Rules and Assumptions'!$H$5:$J$9,2,TRUE)</x:f>
        <x:v>20</x:v>
      </x:c>
      <x:c r="V19" s="45" t="n">
        <x:f>IF(D19&lt;&gt;"",4,0)+IF(F19&lt;&gt;"",2,0)+IF(G19&lt;&gt;"",1,0)+IF(L19&lt;&gt;"",2,0)+IF(R19&lt;&gt;"",1,0)</x:f>
        <x:v>10</x:v>
      </x:c>
      <x:c r="W19" s="45" t="n">
        <x:f>VLOOKUP(E19,'Rules and Assumptions'!$D$5:$F$15,3,FALSE)</x:f>
        <x:v>9</x:v>
      </x:c>
      <x:c r="X19" s="45" t="n">
        <x:f>SUM(S19:W19)</x:f>
        <x:v>79</x:v>
      </x:c>
      <x:c r="Y19" s="45" t="n">
        <x:f>RANK.EQ(X19,$X$5:$X$164,0)+COUNTIF($X$5:X19,X19)-1</x:f>
        <x:v>15</x:v>
      </x:c>
      <x:c r="Z19" s="43" t="str">
        <x:f>IF(Y19&lt;='Rules and Assumptions'!$M$5,"High",IF(Y19&lt;='Rules and Assumptions'!$M$6,"Medium","Low"))</x:f>
        <x:v>High</x:v>
      </x:c>
      <x:c r="AA19" s="43" t="str">
        <x:f>LOWER(TRIM(B19))</x:f>
        <x:v>ghgrp-1004101</x:v>
      </x:c>
      <x:c r="AB19" s="43" t="str">
        <x:f>IF(COUNTIF($AA$5:$AA$164,AA19)&gt;1,"Review","Unique")</x:f>
        <x:v>Unique</x:v>
      </x:c>
      <x:c r="AC19" s="47" t="str">
        <x:v>Waste-sector facility; qualify electricity, natural-gas, and multi-site purchasing needs.</x:v>
      </x:c>
      <x:c r="AD19" s="46" t="n">
        <x:v>45520</x:v>
      </x:c>
    </x:row>
    <x:row r="20">
      <x:c r="A20" s="41" t="str">
        <x:v>NE-016</x:v>
      </x:c>
      <x:c r="B20" s="41" t="str">
        <x:v>GHGRP-1004287</x:v>
      </x:c>
      <x:c r="C20" s="47" t="str">
        <x:v>Wheelabrator Saugus Inc. - Saugus, MA</x:v>
      </x:c>
      <x:c r="D20" s="47" t="str">
        <x:v>WHEELABRATOR TECHNOLOGIES HOLDINGS INC</x:v>
      </x:c>
      <x:c r="E20" s="47" t="str">
        <x:v>Waste</x:v>
      </x:c>
      <x:c r="F20" s="41" t="str">
        <x:v>562213</x:v>
      </x:c>
      <x:c r="G20" s="41" t="str">
        <x:v>Saugus</x:v>
      </x:c>
      <x:c r="H20" s="41" t="str">
        <x:v>MA</x:v>
      </x:c>
      <x:c r="I20" s="41" t="str">
        <x:v>01906</x:v>
      </x:c>
      <x:c r="J20" s="42" t="n">
        <x:v>144607.686</x:v>
      </x:c>
      <x:c r="K20" s="43" t="str">
        <x:f>VLOOKUP(J20,'Rules and Assumptions'!$H$5:$J$9,3,TRUE)</x:f>
        <x:v>Large Reporting Load</x:v>
      </x:c>
      <x:c r="L20" s="47" t="str">
        <x:v>Director of Operations</x:v>
      </x:c>
      <x:c r="M20" s="47" t="str">
        <x:v>Facilities Manager</x:v>
      </x:c>
      <x:c r="N20" s="47" t="str">
        <x:v>Role identified; person not yet verified</x:v>
      </x:c>
      <x:c r="O20" s="47" t="str">
        <x:v>Waste and Environmental</x:v>
      </x:c>
      <x:c r="P20" s="47" t="str">
        <x:v>Sales Rep A - Massachusetts</x:v>
      </x:c>
      <x:c r="Q20" s="47" t="str">
        <x:v>https://www.epa.gov/ghgreporting/data-sets</x:v>
      </x:c>
      <x:c r="R20" s="44" t="n">
        <x:v>1004287</x:v>
      </x:c>
      <x:c r="S20" s="45" t="n">
        <x:f>VLOOKUP(H20,'Rules and Assumptions'!$A$5:$B$10,2,FALSE)</x:f>
        <x:v>20</x:v>
      </x:c>
      <x:c r="T20" s="45" t="n">
        <x:f>VLOOKUP(E20,'Rules and Assumptions'!$D$5:$F$15,2,FALSE)</x:f>
        <x:v>20</x:v>
      </x:c>
      <x:c r="U20" s="45" t="n">
        <x:f>VLOOKUP(J20,'Rules and Assumptions'!$H$5:$J$9,2,TRUE)</x:f>
        <x:v>20</x:v>
      </x:c>
      <x:c r="V20" s="45" t="n">
        <x:f>IF(D20&lt;&gt;"",4,0)+IF(F20&lt;&gt;"",2,0)+IF(G20&lt;&gt;"",1,0)+IF(L20&lt;&gt;"",2,0)+IF(R20&lt;&gt;"",1,0)</x:f>
        <x:v>10</x:v>
      </x:c>
      <x:c r="W20" s="45" t="n">
        <x:f>VLOOKUP(E20,'Rules and Assumptions'!$D$5:$F$15,3,FALSE)</x:f>
        <x:v>9</x:v>
      </x:c>
      <x:c r="X20" s="45" t="n">
        <x:f>SUM(S20:W20)</x:f>
        <x:v>79</x:v>
      </x:c>
      <x:c r="Y20" s="45" t="n">
        <x:f>RANK.EQ(X20,$X$5:$X$164,0)+COUNTIF($X$5:X20,X20)-1</x:f>
        <x:v>16</x:v>
      </x:c>
      <x:c r="Z20" s="43" t="str">
        <x:f>IF(Y20&lt;='Rules and Assumptions'!$M$5,"High",IF(Y20&lt;='Rules and Assumptions'!$M$6,"Medium","Low"))</x:f>
        <x:v>High</x:v>
      </x:c>
      <x:c r="AA20" s="43" t="str">
        <x:f>LOWER(TRIM(B20))</x:f>
        <x:v>ghgrp-1004287</x:v>
      </x:c>
      <x:c r="AB20" s="43" t="str">
        <x:f>IF(COUNTIF($AA$5:$AA$164,AA20)&gt;1,"Review","Unique")</x:f>
        <x:v>Unique</x:v>
      </x:c>
      <x:c r="AC20" s="47" t="str">
        <x:v>Waste-sector facility; qualify electricity, natural-gas, and multi-site purchasing needs.</x:v>
      </x:c>
      <x:c r="AD20" s="46" t="n">
        <x:v>45520</x:v>
      </x:c>
    </x:row>
    <x:row r="21">
      <x:c r="A21" s="41" t="str">
        <x:v>NE-017</x:v>
      </x:c>
      <x:c r="B21" s="41" t="str">
        <x:v>GHGRP-1003594</x:v>
      </x:c>
      <x:c r="C21" s="47" t="str">
        <x:v>DRAGON CEMENT - Thomaston, ME</x:v>
      </x:c>
      <x:c r="D21" s="47" t="str">
        <x:v>GIANT CEMENT HOLDING INC</x:v>
      </x:c>
      <x:c r="E21" s="47" t="str">
        <x:v>Minerals</x:v>
      </x:c>
      <x:c r="F21" s="41" t="str">
        <x:v>327310</x:v>
      </x:c>
      <x:c r="G21" s="41" t="str">
        <x:v>Thomaston</x:v>
      </x:c>
      <x:c r="H21" s="41" t="str">
        <x:v>ME</x:v>
      </x:c>
      <x:c r="I21" s="41" t="str">
        <x:v>04861</x:v>
      </x:c>
      <x:c r="J21" s="42" t="n">
        <x:v>236952.996</x:v>
      </x:c>
      <x:c r="K21" s="43" t="str">
        <x:f>VLOOKUP(J21,'Rules and Assumptions'!$H$5:$J$9,3,TRUE)</x:f>
        <x:v>Large Reporting Load</x:v>
      </x:c>
      <x:c r="L21" s="47" t="str">
        <x:v>Plant Manager</x:v>
      </x:c>
      <x:c r="M21" s="47" t="str">
        <x:v>Director of Strategic Sourcing</x:v>
      </x:c>
      <x:c r="N21" s="47" t="str">
        <x:v>Role identified; person not yet verified</x:v>
      </x:c>
      <x:c r="O21" s="47" t="str">
        <x:v>Industrial High-Load</x:v>
      </x:c>
      <x:c r="P21" s="47" t="str">
        <x:v>Sales Rep C - Northern New England</x:v>
      </x:c>
      <x:c r="Q21" s="47" t="str">
        <x:v>https://www.epa.gov/ghgreporting/data-sets</x:v>
      </x:c>
      <x:c r="R21" s="44" t="n">
        <x:v>1003594</x:v>
      </x:c>
      <x:c r="S21" s="45" t="n">
        <x:f>VLOOKUP(H21,'Rules and Assumptions'!$A$5:$B$10,2,FALSE)</x:f>
        <x:v>12</x:v>
      </x:c>
      <x:c r="T21" s="45" t="n">
        <x:f>VLOOKUP(E21,'Rules and Assumptions'!$D$5:$F$15,2,FALSE)</x:f>
        <x:v>26</x:v>
      </x:c>
      <x:c r="U21" s="45" t="n">
        <x:f>VLOOKUP(J21,'Rules and Assumptions'!$H$5:$J$9,2,TRUE)</x:f>
        <x:v>20</x:v>
      </x:c>
      <x:c r="V21" s="45" t="n">
        <x:f>IF(D21&lt;&gt;"",4,0)+IF(F21&lt;&gt;"",2,0)+IF(G21&lt;&gt;"",1,0)+IF(L21&lt;&gt;"",2,0)+IF(R21&lt;&gt;"",1,0)</x:f>
        <x:v>10</x:v>
      </x:c>
      <x:c r="W21" s="45" t="n">
        <x:f>VLOOKUP(E21,'Rules and Assumptions'!$D$5:$F$15,3,FALSE)</x:f>
        <x:v>10</x:v>
      </x:c>
      <x:c r="X21" s="45" t="n">
        <x:f>SUM(S21:W21)</x:f>
        <x:v>78</x:v>
      </x:c>
      <x:c r="Y21" s="45" t="n">
        <x:f>RANK.EQ(X21,$X$5:$X$164,0)+COUNTIF($X$5:X21,X21)-1</x:f>
        <x:v>17</x:v>
      </x:c>
      <x:c r="Z21" s="43" t="str">
        <x:f>IF(Y21&lt;='Rules and Assumptions'!$M$5,"High",IF(Y21&lt;='Rules and Assumptions'!$M$6,"Medium","Low"))</x:f>
        <x:v>High</x:v>
      </x:c>
      <x:c r="AA21" s="43" t="str">
        <x:f>LOWER(TRIM(B21))</x:f>
        <x:v>ghgrp-1003594</x:v>
      </x:c>
      <x:c r="AB21" s="43" t="str">
        <x:f>IF(COUNTIF($AA$5:$AA$164,AA21)&gt;1,"Review","Unique")</x:f>
        <x:v>Unique</x:v>
      </x:c>
      <x:c r="AC21" s="47" t="str">
        <x:v>Industrial process-load prospect with potential power and natural-gas purchasing needs.</x:v>
      </x:c>
      <x:c r="AD21" s="46" t="n">
        <x:v>45520</x:v>
      </x:c>
    </x:row>
    <x:row r="22">
      <x:c r="A22" s="41" t="str">
        <x:v>NE-018</x:v>
      </x:c>
      <x:c r="B22" s="41" t="str">
        <x:v>GHGRP-1004343</x:v>
      </x:c>
      <x:c r="C22" s="47" t="str">
        <x:v>Pfizer - Andover, MA</x:v>
      </x:c>
      <x:c r="D22" s="47" t="str">
        <x:v>PFIZER INC</x:v>
      </x:c>
      <x:c r="E22" s="47" t="str">
        <x:v>Chemicals</x:v>
      </x:c>
      <x:c r="F22" s="41" t="str">
        <x:v>325414</x:v>
      </x:c>
      <x:c r="G22" s="41" t="str">
        <x:v>Andover</x:v>
      </x:c>
      <x:c r="H22" s="41" t="str">
        <x:v>MA</x:v>
      </x:c>
      <x:c r="I22" s="41" t="str">
        <x:v>01810</x:v>
      </x:c>
      <x:c r="J22" s="42" t="n">
        <x:v>47362.816</x:v>
      </x:c>
      <x:c r="K22" s="43" t="str">
        <x:f>VLOOKUP(J22,'Rules and Assumptions'!$H$5:$J$9,3,TRUE)</x:f>
        <x:v>Small Reporting Load</x:v>
      </x:c>
      <x:c r="L22" s="47" t="str">
        <x:v>Plant Manager</x:v>
      </x:c>
      <x:c r="M22" s="47" t="str">
        <x:v>Energy Procurement Manager</x:v>
      </x:c>
      <x:c r="N22" s="47" t="str">
        <x:v>Role identified; person not yet verified</x:v>
      </x:c>
      <x:c r="O22" s="47" t="str">
        <x:v>Industrial High-Load</x:v>
      </x:c>
      <x:c r="P22" s="47" t="str">
        <x:v>Sales Rep A - Massachusetts</x:v>
      </x:c>
      <x:c r="Q22" s="47" t="str">
        <x:v>https://www.epa.gov/ghgreporting/data-sets</x:v>
      </x:c>
      <x:c r="R22" s="44" t="n">
        <x:v>1004343</x:v>
      </x:c>
      <x:c r="S22" s="45" t="n">
        <x:f>VLOOKUP(H22,'Rules and Assumptions'!$A$5:$B$10,2,FALSE)</x:f>
        <x:v>20</x:v>
      </x:c>
      <x:c r="T22" s="45" t="n">
        <x:f>VLOOKUP(E22,'Rules and Assumptions'!$D$5:$F$15,2,FALSE)</x:f>
        <x:v>28</x:v>
      </x:c>
      <x:c r="U22" s="45" t="n">
        <x:f>VLOOKUP(J22,'Rules and Assumptions'!$H$5:$J$9,2,TRUE)</x:f>
        <x:v>10</x:v>
      </x:c>
      <x:c r="V22" s="45" t="n">
        <x:f>IF(D22&lt;&gt;"",4,0)+IF(F22&lt;&gt;"",2,0)+IF(G22&lt;&gt;"",1,0)+IF(L22&lt;&gt;"",2,0)+IF(R22&lt;&gt;"",1,0)</x:f>
        <x:v>10</x:v>
      </x:c>
      <x:c r="W22" s="45" t="n">
        <x:f>VLOOKUP(E22,'Rules and Assumptions'!$D$5:$F$15,3,FALSE)</x:f>
        <x:v>10</x:v>
      </x:c>
      <x:c r="X22" s="45" t="n">
        <x:f>SUM(S22:W22)</x:f>
        <x:v>78</x:v>
      </x:c>
      <x:c r="Y22" s="45" t="n">
        <x:f>RANK.EQ(X22,$X$5:$X$164,0)+COUNTIF($X$5:X22,X22)-1</x:f>
        <x:v>18</x:v>
      </x:c>
      <x:c r="Z22" s="43" t="str">
        <x:f>IF(Y22&lt;='Rules and Assumptions'!$M$5,"High",IF(Y22&lt;='Rules and Assumptions'!$M$6,"Medium","Low"))</x:f>
        <x:v>High</x:v>
      </x:c>
      <x:c r="AA22" s="43" t="str">
        <x:f>LOWER(TRIM(B22))</x:f>
        <x:v>ghgrp-1004343</x:v>
      </x:c>
      <x:c r="AB22" s="43" t="str">
        <x:f>IF(COUNTIF($AA$5:$AA$164,AA22)&gt;1,"Review","Unique")</x:f>
        <x:v>Unique</x:v>
      </x:c>
      <x:c r="AC22" s="47" t="str">
        <x:v>Energy-intensive industrial facility; prioritize operational and procurement stakeholders.</x:v>
      </x:c>
      <x:c r="AD22" s="46" t="n">
        <x:v>45520</x:v>
      </x:c>
    </x:row>
    <x:row r="23">
      <x:c r="A23" s="41" t="str">
        <x:v>NE-019</x:v>
      </x:c>
      <x:c r="B23" s="41" t="str">
        <x:v>GHGRP-1001068</x:v>
      </x:c>
      <x:c r="C23" s="47" t="str">
        <x:v>Rousselot Peabody, Inc. - Peabody, MA</x:v>
      </x:c>
      <x:c r="D23" s="47" t="str">
        <x:v>ROUSSELOT INC</x:v>
      </x:c>
      <x:c r="E23" s="47" t="str">
        <x:v>Chemicals</x:v>
      </x:c>
      <x:c r="F23" s="41" t="str">
        <x:v>325998</x:v>
      </x:c>
      <x:c r="G23" s="41" t="str">
        <x:v>Peabody</x:v>
      </x:c>
      <x:c r="H23" s="41" t="str">
        <x:v>MA</x:v>
      </x:c>
      <x:c r="I23" s="41" t="str">
        <x:v>01960</x:v>
      </x:c>
      <x:c r="J23" s="42" t="n">
        <x:v>34489.42</x:v>
      </x:c>
      <x:c r="K23" s="43" t="str">
        <x:f>VLOOKUP(J23,'Rules and Assumptions'!$H$5:$J$9,3,TRUE)</x:f>
        <x:v>Small Reporting Load</x:v>
      </x:c>
      <x:c r="L23" s="47" t="str">
        <x:v>Plant Manager</x:v>
      </x:c>
      <x:c r="M23" s="47" t="str">
        <x:v>Energy Procurement Manager</x:v>
      </x:c>
      <x:c r="N23" s="47" t="str">
        <x:v>Role identified; person not yet verified</x:v>
      </x:c>
      <x:c r="O23" s="47" t="str">
        <x:v>Industrial High-Load</x:v>
      </x:c>
      <x:c r="P23" s="47" t="str">
        <x:v>Sales Rep A - Massachusetts</x:v>
      </x:c>
      <x:c r="Q23" s="47" t="str">
        <x:v>https://www.epa.gov/ghgreporting/data-sets</x:v>
      </x:c>
      <x:c r="R23" s="44" t="n">
        <x:v>1001068</x:v>
      </x:c>
      <x:c r="S23" s="45" t="n">
        <x:f>VLOOKUP(H23,'Rules and Assumptions'!$A$5:$B$10,2,FALSE)</x:f>
        <x:v>20</x:v>
      </x:c>
      <x:c r="T23" s="45" t="n">
        <x:f>VLOOKUP(E23,'Rules and Assumptions'!$D$5:$F$15,2,FALSE)</x:f>
        <x:v>28</x:v>
      </x:c>
      <x:c r="U23" s="45" t="n">
        <x:f>VLOOKUP(J23,'Rules and Assumptions'!$H$5:$J$9,2,TRUE)</x:f>
        <x:v>10</x:v>
      </x:c>
      <x:c r="V23" s="45" t="n">
        <x:f>IF(D23&lt;&gt;"",4,0)+IF(F23&lt;&gt;"",2,0)+IF(G23&lt;&gt;"",1,0)+IF(L23&lt;&gt;"",2,0)+IF(R23&lt;&gt;"",1,0)</x:f>
        <x:v>10</x:v>
      </x:c>
      <x:c r="W23" s="45" t="n">
        <x:f>VLOOKUP(E23,'Rules and Assumptions'!$D$5:$F$15,3,FALSE)</x:f>
        <x:v>10</x:v>
      </x:c>
      <x:c r="X23" s="45" t="n">
        <x:f>SUM(S23:W23)</x:f>
        <x:v>78</x:v>
      </x:c>
      <x:c r="Y23" s="45" t="n">
        <x:f>RANK.EQ(X23,$X$5:$X$164,0)+COUNTIF($X$5:X23,X23)-1</x:f>
        <x:v>19</x:v>
      </x:c>
      <x:c r="Z23" s="43" t="str">
        <x:f>IF(Y23&lt;='Rules and Assumptions'!$M$5,"High",IF(Y23&lt;='Rules and Assumptions'!$M$6,"Medium","Low"))</x:f>
        <x:v>High</x:v>
      </x:c>
      <x:c r="AA23" s="43" t="str">
        <x:f>LOWER(TRIM(B23))</x:f>
        <x:v>ghgrp-1001068</x:v>
      </x:c>
      <x:c r="AB23" s="43" t="str">
        <x:f>IF(COUNTIF($AA$5:$AA$164,AA23)&gt;1,"Review","Unique")</x:f>
        <x:v>Unique</x:v>
      </x:c>
      <x:c r="AC23" s="47" t="str">
        <x:v>Energy-intensive industrial facility; prioritize operational and procurement stakeholders.</x:v>
      </x:c>
      <x:c r="AD23" s="46" t="n">
        <x:v>45520</x:v>
      </x:c>
    </x:row>
    <x:row r="24">
      <x:c r="A24" s="41" t="str">
        <x:v>NE-020</x:v>
      </x:c>
      <x:c r="B24" s="41" t="str">
        <x:v>GHGRP-1000383</x:v>
      </x:c>
      <x:c r="C24" s="47" t="str">
        <x:v>BIOGEN INC - Cambridge, MA</x:v>
      </x:c>
      <x:c r="D24" s="47" t="str">
        <x:v>BIOGEN INC</x:v>
      </x:c>
      <x:c r="E24" s="47" t="str">
        <x:v>Chemicals</x:v>
      </x:c>
      <x:c r="F24" s="41" t="str">
        <x:v>325414</x:v>
      </x:c>
      <x:c r="G24" s="41" t="str">
        <x:v>Cambridge</x:v>
      </x:c>
      <x:c r="H24" s="41" t="str">
        <x:v>MA</x:v>
      </x:c>
      <x:c r="I24" s="41" t="str">
        <x:v>02142</x:v>
      </x:c>
      <x:c r="J24" s="42" t="n">
        <x:v>28268.192</x:v>
      </x:c>
      <x:c r="K24" s="43" t="str">
        <x:f>VLOOKUP(J24,'Rules and Assumptions'!$H$5:$J$9,3,TRUE)</x:f>
        <x:v>Small Reporting Load</x:v>
      </x:c>
      <x:c r="L24" s="47" t="str">
        <x:v>Plant Manager</x:v>
      </x:c>
      <x:c r="M24" s="47" t="str">
        <x:v>Energy Procurement Manager</x:v>
      </x:c>
      <x:c r="N24" s="47" t="str">
        <x:v>Role identified; person not yet verified</x:v>
      </x:c>
      <x:c r="O24" s="47" t="str">
        <x:v>Industrial High-Load</x:v>
      </x:c>
      <x:c r="P24" s="47" t="str">
        <x:v>Sales Rep A - Massachusetts</x:v>
      </x:c>
      <x:c r="Q24" s="47" t="str">
        <x:v>https://www.epa.gov/ghgreporting/data-sets</x:v>
      </x:c>
      <x:c r="R24" s="44" t="n">
        <x:v>1000383</x:v>
      </x:c>
      <x:c r="S24" s="45" t="n">
        <x:f>VLOOKUP(H24,'Rules and Assumptions'!$A$5:$B$10,2,FALSE)</x:f>
        <x:v>20</x:v>
      </x:c>
      <x:c r="T24" s="45" t="n">
        <x:f>VLOOKUP(E24,'Rules and Assumptions'!$D$5:$F$15,2,FALSE)</x:f>
        <x:v>28</x:v>
      </x:c>
      <x:c r="U24" s="45" t="n">
        <x:f>VLOOKUP(J24,'Rules and Assumptions'!$H$5:$J$9,2,TRUE)</x:f>
        <x:v>10</x:v>
      </x:c>
      <x:c r="V24" s="45" t="n">
        <x:f>IF(D24&lt;&gt;"",4,0)+IF(F24&lt;&gt;"",2,0)+IF(G24&lt;&gt;"",1,0)+IF(L24&lt;&gt;"",2,0)+IF(R24&lt;&gt;"",1,0)</x:f>
        <x:v>10</x:v>
      </x:c>
      <x:c r="W24" s="45" t="n">
        <x:f>VLOOKUP(E24,'Rules and Assumptions'!$D$5:$F$15,3,FALSE)</x:f>
        <x:v>10</x:v>
      </x:c>
      <x:c r="X24" s="45" t="n">
        <x:f>SUM(S24:W24)</x:f>
        <x:v>78</x:v>
      </x:c>
      <x:c r="Y24" s="45" t="n">
        <x:f>RANK.EQ(X24,$X$5:$X$164,0)+COUNTIF($X$5:X24,X24)-1</x:f>
        <x:v>20</x:v>
      </x:c>
      <x:c r="Z24" s="43" t="str">
        <x:f>IF(Y24&lt;='Rules and Assumptions'!$M$5,"High",IF(Y24&lt;='Rules and Assumptions'!$M$6,"Medium","Low"))</x:f>
        <x:v>High</x:v>
      </x:c>
      <x:c r="AA24" s="43" t="str">
        <x:f>LOWER(TRIM(B24))</x:f>
        <x:v>ghgrp-1000383</x:v>
      </x:c>
      <x:c r="AB24" s="43" t="str">
        <x:f>IF(COUNTIF($AA$5:$AA$164,AA24)&gt;1,"Review","Unique")</x:f>
        <x:v>Unique</x:v>
      </x:c>
      <x:c r="AC24" s="47" t="str">
        <x:v>Energy-intensive industrial facility; prioritize operational and procurement stakeholders.</x:v>
      </x:c>
      <x:c r="AD24" s="46" t="n">
        <x:v>45520</x:v>
      </x:c>
    </x:row>
    <x:row r="25">
      <x:c r="A25" s="41" t="str">
        <x:v>NE-021</x:v>
      </x:c>
      <x:c r="B25" s="41" t="str">
        <x:v>GHGRP-1006902</x:v>
      </x:c>
      <x:c r="C25" s="47" t="str">
        <x:v>UMASS MEDICAL SCHOOL - Worcester, MA</x:v>
      </x:c>
      <x:c r="D25" s="47" t="str">
        <x:v>COMMONWEALTH OF MASSACHUSETTS</x:v>
      </x:c>
      <x:c r="E25" s="47" t="str">
        <x:v>Other</x:v>
      </x:c>
      <x:c r="F25" s="41" t="str">
        <x:v>611310</x:v>
      </x:c>
      <x:c r="G25" s="41" t="str">
        <x:v>Worcester</x:v>
      </x:c>
      <x:c r="H25" s="41" t="str">
        <x:v>MA</x:v>
      </x:c>
      <x:c r="I25" s="41" t="str">
        <x:v>01655</x:v>
      </x:c>
      <x:c r="J25" s="42" t="n">
        <x:v>86068.908</x:v>
      </x:c>
      <x:c r="K25" s="43" t="str">
        <x:f>VLOOKUP(J25,'Rules and Assumptions'!$H$5:$J$9,3,TRUE)</x:f>
        <x:v>Mid Reporting Load</x:v>
      </x:c>
      <x:c r="L25" s="47" t="str">
        <x:v>Director of Facilities</x:v>
      </x:c>
      <x:c r="M25" s="47" t="str">
        <x:v>Energy and Sustainability Manager</x:v>
      </x:c>
      <x:c r="N25" s="47" t="str">
        <x:v>Role identified; person not yet verified</x:v>
      </x:c>
      <x:c r="O25" s="47" t="str">
        <x:v>Facilities and Institutions</x:v>
      </x:c>
      <x:c r="P25" s="47" t="str">
        <x:v>Sales Rep A - Massachusetts</x:v>
      </x:c>
      <x:c r="Q25" s="47" t="str">
        <x:v>https://www.epa.gov/ghgreporting/data-sets</x:v>
      </x:c>
      <x:c r="R25" s="44" t="n">
        <x:v>1006902</x:v>
      </x:c>
      <x:c r="S25" s="45" t="n">
        <x:f>VLOOKUP(H25,'Rules and Assumptions'!$A$5:$B$10,2,FALSE)</x:f>
        <x:v>20</x:v>
      </x:c>
      <x:c r="T25" s="45" t="n">
        <x:f>VLOOKUP(E25,'Rules and Assumptions'!$D$5:$F$15,2,FALSE)</x:f>
        <x:v>22</x:v>
      </x:c>
      <x:c r="U25" s="45" t="n">
        <x:f>VLOOKUP(J25,'Rules and Assumptions'!$H$5:$J$9,2,TRUE)</x:f>
        <x:v>15</x:v>
      </x:c>
      <x:c r="V25" s="45" t="n">
        <x:f>IF(D25&lt;&gt;"",4,0)+IF(F25&lt;&gt;"",2,0)+IF(G25&lt;&gt;"",1,0)+IF(L25&lt;&gt;"",2,0)+IF(R25&lt;&gt;"",1,0)</x:f>
        <x:v>10</x:v>
      </x:c>
      <x:c r="W25" s="45" t="n">
        <x:f>VLOOKUP(E25,'Rules and Assumptions'!$D$5:$F$15,3,FALSE)</x:f>
        <x:v>10</x:v>
      </x:c>
      <x:c r="X25" s="45" t="n">
        <x:f>SUM(S25:W25)</x:f>
        <x:v>77</x:v>
      </x:c>
      <x:c r="Y25" s="45" t="n">
        <x:f>RANK.EQ(X25,$X$5:$X$164,0)+COUNTIF($X$5:X25,X25)-1</x:f>
        <x:v>21</x:v>
      </x:c>
      <x:c r="Z25" s="43" t="str">
        <x:f>IF(Y25&lt;='Rules and Assumptions'!$M$5,"High",IF(Y25&lt;='Rules and Assumptions'!$M$6,"Medium","Low"))</x:f>
        <x:v>High</x:v>
      </x:c>
      <x:c r="AA25" s="43" t="str">
        <x:f>LOWER(TRIM(B25))</x:f>
        <x:v>ghgrp-1006902</x:v>
      </x:c>
      <x:c r="AB25" s="43" t="str">
        <x:f>IF(COUNTIF($AA$5:$AA$164,AA25)&gt;1,"Review","Unique")</x:f>
        <x:v>Unique</x:v>
      </x:c>
      <x:c r="AC25" s="47" t="str">
        <x:v>General commercial or institutional facility; validate site portfolio and purchasing authority.</x:v>
      </x:c>
      <x:c r="AD25" s="46" t="n">
        <x:v>45520</x:v>
      </x:c>
    </x:row>
    <x:row r="26">
      <x:c r="A26" s="41" t="str">
        <x:v>NE-022</x:v>
      </x:c>
      <x:c r="B26" s="41" t="str">
        <x:v>GHGRP-1000656</x:v>
      </x:c>
      <x:c r="C26" s="47" t="str">
        <x:v>The President and Fellows of Harvard University (Cambridge Allston Blackstone) - Cambridge, MA</x:v>
      </x:c>
      <x:c r="D26" s="47" t="str">
        <x:v>PRESIDENT &amp; FELLOWS OF HARVARD COLLEGE</x:v>
      </x:c>
      <x:c r="E26" s="47" t="str">
        <x:v>Other</x:v>
      </x:c>
      <x:c r="F26" s="41" t="str">
        <x:v>611310</x:v>
      </x:c>
      <x:c r="G26" s="41" t="str">
        <x:v>Cambridge</x:v>
      </x:c>
      <x:c r="H26" s="41" t="str">
        <x:v>MA</x:v>
      </x:c>
      <x:c r="I26" s="41" t="str">
        <x:v>02139</x:v>
      </x:c>
      <x:c r="J26" s="42" t="n">
        <x:v>79476.042</x:v>
      </x:c>
      <x:c r="K26" s="43" t="str">
        <x:f>VLOOKUP(J26,'Rules and Assumptions'!$H$5:$J$9,3,TRUE)</x:f>
        <x:v>Mid Reporting Load</x:v>
      </x:c>
      <x:c r="L26" s="47" t="str">
        <x:v>Director of Facilities</x:v>
      </x:c>
      <x:c r="M26" s="47" t="str">
        <x:v>Energy and Sustainability Manager</x:v>
      </x:c>
      <x:c r="N26" s="47" t="str">
        <x:v>Role identified; person not yet verified</x:v>
      </x:c>
      <x:c r="O26" s="47" t="str">
        <x:v>Facilities and Institutions</x:v>
      </x:c>
      <x:c r="P26" s="47" t="str">
        <x:v>Sales Rep A - Massachusetts</x:v>
      </x:c>
      <x:c r="Q26" s="47" t="str">
        <x:v>https://www.epa.gov/ghgreporting/data-sets</x:v>
      </x:c>
      <x:c r="R26" s="44" t="n">
        <x:v>1000656</x:v>
      </x:c>
      <x:c r="S26" s="45" t="n">
        <x:f>VLOOKUP(H26,'Rules and Assumptions'!$A$5:$B$10,2,FALSE)</x:f>
        <x:v>20</x:v>
      </x:c>
      <x:c r="T26" s="45" t="n">
        <x:f>VLOOKUP(E26,'Rules and Assumptions'!$D$5:$F$15,2,FALSE)</x:f>
        <x:v>22</x:v>
      </x:c>
      <x:c r="U26" s="45" t="n">
        <x:f>VLOOKUP(J26,'Rules and Assumptions'!$H$5:$J$9,2,TRUE)</x:f>
        <x:v>15</x:v>
      </x:c>
      <x:c r="V26" s="45" t="n">
        <x:f>IF(D26&lt;&gt;"",4,0)+IF(F26&lt;&gt;"",2,0)+IF(G26&lt;&gt;"",1,0)+IF(L26&lt;&gt;"",2,0)+IF(R26&lt;&gt;"",1,0)</x:f>
        <x:v>10</x:v>
      </x:c>
      <x:c r="W26" s="45" t="n">
        <x:f>VLOOKUP(E26,'Rules and Assumptions'!$D$5:$F$15,3,FALSE)</x:f>
        <x:v>10</x:v>
      </x:c>
      <x:c r="X26" s="45" t="n">
        <x:f>SUM(S26:W26)</x:f>
        <x:v>77</x:v>
      </x:c>
      <x:c r="Y26" s="45" t="n">
        <x:f>RANK.EQ(X26,$X$5:$X$164,0)+COUNTIF($X$5:X26,X26)-1</x:f>
        <x:v>22</x:v>
      </x:c>
      <x:c r="Z26" s="43" t="str">
        <x:f>IF(Y26&lt;='Rules and Assumptions'!$M$5,"High",IF(Y26&lt;='Rules and Assumptions'!$M$6,"Medium","Low"))</x:f>
        <x:v>High</x:v>
      </x:c>
      <x:c r="AA26" s="43" t="str">
        <x:f>LOWER(TRIM(B26))</x:f>
        <x:v>ghgrp-1000656</x:v>
      </x:c>
      <x:c r="AB26" s="43" t="str">
        <x:f>IF(COUNTIF($AA$5:$AA$164,AA26)&gt;1,"Review","Unique")</x:f>
        <x:v>Unique</x:v>
      </x:c>
      <x:c r="AC26" s="47" t="str">
        <x:v>General commercial or institutional facility; validate site portfolio and purchasing authority.</x:v>
      </x:c>
      <x:c r="AD26" s="46" t="n">
        <x:v>45520</x:v>
      </x:c>
    </x:row>
    <x:row r="27">
      <x:c r="A27" s="41" t="str">
        <x:v>NE-023</x:v>
      </x:c>
      <x:c r="B27" s="41" t="str">
        <x:v>GHGRP-1001974</x:v>
      </x:c>
      <x:c r="C27" s="47" t="str">
        <x:v>Georgia-Pacific Gypsum - Newington, NH</x:v>
      </x:c>
      <x:c r="D27" s="47" t="str">
        <x:v>KOCH INDUSTRIES INC</x:v>
      </x:c>
      <x:c r="E27" s="47" t="str">
        <x:v>Minerals</x:v>
      </x:c>
      <x:c r="F27" s="41" t="str">
        <x:v>327420</x:v>
      </x:c>
      <x:c r="G27" s="41" t="str">
        <x:v>Newington</x:v>
      </x:c>
      <x:c r="H27" s="41" t="str">
        <x:v>NH</x:v>
      </x:c>
      <x:c r="I27" s="41" t="str">
        <x:v>03801</x:v>
      </x:c>
      <x:c r="J27" s="42" t="n">
        <x:v>68768.528282</x:v>
      </x:c>
      <x:c r="K27" s="43" t="str">
        <x:f>VLOOKUP(J27,'Rules and Assumptions'!$H$5:$J$9,3,TRUE)</x:f>
        <x:v>Mid Reporting Load</x:v>
      </x:c>
      <x:c r="L27" s="47" t="str">
        <x:v>Plant Manager</x:v>
      </x:c>
      <x:c r="M27" s="47" t="str">
        <x:v>Director of Strategic Sourcing</x:v>
      </x:c>
      <x:c r="N27" s="47" t="str">
        <x:v>Role identified; person not yet verified</x:v>
      </x:c>
      <x:c r="O27" s="47" t="str">
        <x:v>Industrial High-Load</x:v>
      </x:c>
      <x:c r="P27" s="47" t="str">
        <x:v>Sales Rep C - Northern New England</x:v>
      </x:c>
      <x:c r="Q27" s="47" t="str">
        <x:v>https://www.epa.gov/ghgreporting/data-sets</x:v>
      </x:c>
      <x:c r="R27" s="44" t="n">
        <x:v>1001974</x:v>
      </x:c>
      <x:c r="S27" s="45" t="n">
        <x:f>VLOOKUP(H27,'Rules and Assumptions'!$A$5:$B$10,2,FALSE)</x:f>
        <x:v>16</x:v>
      </x:c>
      <x:c r="T27" s="45" t="n">
        <x:f>VLOOKUP(E27,'Rules and Assumptions'!$D$5:$F$15,2,FALSE)</x:f>
        <x:v>26</x:v>
      </x:c>
      <x:c r="U27" s="45" t="n">
        <x:f>VLOOKUP(J27,'Rules and Assumptions'!$H$5:$J$9,2,TRUE)</x:f>
        <x:v>15</x:v>
      </x:c>
      <x:c r="V27" s="45" t="n">
        <x:f>IF(D27&lt;&gt;"",4,0)+IF(F27&lt;&gt;"",2,0)+IF(G27&lt;&gt;"",1,0)+IF(L27&lt;&gt;"",2,0)+IF(R27&lt;&gt;"",1,0)</x:f>
        <x:v>10</x:v>
      </x:c>
      <x:c r="W27" s="45" t="n">
        <x:f>VLOOKUP(E27,'Rules and Assumptions'!$D$5:$F$15,3,FALSE)</x:f>
        <x:v>10</x:v>
      </x:c>
      <x:c r="X27" s="45" t="n">
        <x:f>SUM(S27:W27)</x:f>
        <x:v>77</x:v>
      </x:c>
      <x:c r="Y27" s="45" t="n">
        <x:f>RANK.EQ(X27,$X$5:$X$164,0)+COUNTIF($X$5:X27,X27)-1</x:f>
        <x:v>23</x:v>
      </x:c>
      <x:c r="Z27" s="43" t="str">
        <x:f>IF(Y27&lt;='Rules and Assumptions'!$M$5,"High",IF(Y27&lt;='Rules and Assumptions'!$M$6,"Medium","Low"))</x:f>
        <x:v>High</x:v>
      </x:c>
      <x:c r="AA27" s="43" t="str">
        <x:f>LOWER(TRIM(B27))</x:f>
        <x:v>ghgrp-1001974</x:v>
      </x:c>
      <x:c r="AB27" s="43" t="str">
        <x:f>IF(COUNTIF($AA$5:$AA$164,AA27)&gt;1,"Review","Unique")</x:f>
        <x:v>Unique</x:v>
      </x:c>
      <x:c r="AC27" s="47" t="str">
        <x:v>Industrial process-load prospect with potential power and natural-gas purchasing needs.</x:v>
      </x:c>
      <x:c r="AD27" s="46" t="n">
        <x:v>45520</x:v>
      </x:c>
    </x:row>
    <x:row r="28">
      <x:c r="A28" s="41" t="str">
        <x:v>NE-024</x:v>
      </x:c>
      <x:c r="B28" s="41" t="str">
        <x:v>GHGRP-1009982</x:v>
      </x:c>
      <x:c r="C28" s="47" t="str">
        <x:v>Analog Devices Inc - Willmington, MA</x:v>
      </x:c>
      <x:c r="D28" s="47" t="str">
        <x:v>ANALOG DEVICES INC</x:v>
      </x:c>
      <x:c r="E28" s="47" t="str">
        <x:v>Other</x:v>
      </x:c>
      <x:c r="F28" s="41" t="str">
        <x:v>334413</x:v>
      </x:c>
      <x:c r="G28" s="41" t="str">
        <x:v>Willmington</x:v>
      </x:c>
      <x:c r="H28" s="41" t="str">
        <x:v>MA</x:v>
      </x:c>
      <x:c r="I28" s="41" t="str">
        <x:v>01887</x:v>
      </x:c>
      <x:c r="J28" s="42" t="n">
        <x:v>60623.475335</x:v>
      </x:c>
      <x:c r="K28" s="43" t="str">
        <x:f>VLOOKUP(J28,'Rules and Assumptions'!$H$5:$J$9,3,TRUE)</x:f>
        <x:v>Mid Reporting Load</x:v>
      </x:c>
      <x:c r="L28" s="47" t="str">
        <x:v>Director of Facilities</x:v>
      </x:c>
      <x:c r="M28" s="47" t="str">
        <x:v>Energy and Sustainability Manager</x:v>
      </x:c>
      <x:c r="N28" s="47" t="str">
        <x:v>Role identified; person not yet verified</x:v>
      </x:c>
      <x:c r="O28" s="47" t="str">
        <x:v>Facilities and Institutions</x:v>
      </x:c>
      <x:c r="P28" s="47" t="str">
        <x:v>Sales Rep A - Massachusetts</x:v>
      </x:c>
      <x:c r="Q28" s="47" t="str">
        <x:v>https://www.epa.gov/ghgreporting/data-sets</x:v>
      </x:c>
      <x:c r="R28" s="44" t="n">
        <x:v>1009982</x:v>
      </x:c>
      <x:c r="S28" s="45" t="n">
        <x:f>VLOOKUP(H28,'Rules and Assumptions'!$A$5:$B$10,2,FALSE)</x:f>
        <x:v>20</x:v>
      </x:c>
      <x:c r="T28" s="45" t="n">
        <x:f>VLOOKUP(E28,'Rules and Assumptions'!$D$5:$F$15,2,FALSE)</x:f>
        <x:v>22</x:v>
      </x:c>
      <x:c r="U28" s="45" t="n">
        <x:f>VLOOKUP(J28,'Rules and Assumptions'!$H$5:$J$9,2,TRUE)</x:f>
        <x:v>15</x:v>
      </x:c>
      <x:c r="V28" s="45" t="n">
        <x:f>IF(D28&lt;&gt;"",4,0)+IF(F28&lt;&gt;"",2,0)+IF(G28&lt;&gt;"",1,0)+IF(L28&lt;&gt;"",2,0)+IF(R28&lt;&gt;"",1,0)</x:f>
        <x:v>10</x:v>
      </x:c>
      <x:c r="W28" s="45" t="n">
        <x:f>VLOOKUP(E28,'Rules and Assumptions'!$D$5:$F$15,3,FALSE)</x:f>
        <x:v>10</x:v>
      </x:c>
      <x:c r="X28" s="45" t="n">
        <x:f>SUM(S28:W28)</x:f>
        <x:v>77</x:v>
      </x:c>
      <x:c r="Y28" s="45" t="n">
        <x:f>RANK.EQ(X28,$X$5:$X$164,0)+COUNTIF($X$5:X28,X28)-1</x:f>
        <x:v>24</x:v>
      </x:c>
      <x:c r="Z28" s="43" t="str">
        <x:f>IF(Y28&lt;='Rules and Assumptions'!$M$5,"High",IF(Y28&lt;='Rules and Assumptions'!$M$6,"Medium","Low"))</x:f>
        <x:v>High</x:v>
      </x:c>
      <x:c r="AA28" s="43" t="str">
        <x:f>LOWER(TRIM(B28))</x:f>
        <x:v>ghgrp-1009982</x:v>
      </x:c>
      <x:c r="AB28" s="43" t="str">
        <x:f>IF(COUNTIF($AA$5:$AA$164,AA28)&gt;1,"Review","Unique")</x:f>
        <x:v>Unique</x:v>
      </x:c>
      <x:c r="AC28" s="47" t="str">
        <x:v>General commercial or institutional facility; validate site portfolio and purchasing authority.</x:v>
      </x:c>
      <x:c r="AD28" s="46" t="n">
        <x:v>45520</x:v>
      </x:c>
    </x:row>
    <x:row r="29">
      <x:c r="A29" s="41" t="str">
        <x:v>NE-025</x:v>
      </x:c>
      <x:c r="B29" s="41" t="str">
        <x:v>GHGRP-1002299</x:v>
      </x:c>
      <x:c r="C29" s="47" t="str">
        <x:v>SOLUTIA INC - INDIAN ORCHARD PLANT - Springfield, MA</x:v>
      </x:c>
      <x:c r="D29" s="47" t="str">
        <x:v>EASTMAN CHEMICAL CO</x:v>
      </x:c>
      <x:c r="E29" s="47" t="str">
        <x:v>Other</x:v>
      </x:c>
      <x:c r="F29" s="41" t="str">
        <x:v>326113</x:v>
      </x:c>
      <x:c r="G29" s="41" t="str">
        <x:v>Springfield</x:v>
      </x:c>
      <x:c r="H29" s="41" t="str">
        <x:v>MA</x:v>
      </x:c>
      <x:c r="I29" s="41" t="str">
        <x:v>01151</x:v>
      </x:c>
      <x:c r="J29" s="42" t="n">
        <x:v>59347.076</x:v>
      </x:c>
      <x:c r="K29" s="43" t="str">
        <x:f>VLOOKUP(J29,'Rules and Assumptions'!$H$5:$J$9,3,TRUE)</x:f>
        <x:v>Mid Reporting Load</x:v>
      </x:c>
      <x:c r="L29" s="47" t="str">
        <x:v>Director of Facilities</x:v>
      </x:c>
      <x:c r="M29" s="47" t="str">
        <x:v>Energy and Sustainability Manager</x:v>
      </x:c>
      <x:c r="N29" s="47" t="str">
        <x:v>Role identified; person not yet verified</x:v>
      </x:c>
      <x:c r="O29" s="47" t="str">
        <x:v>Facilities and Institutions</x:v>
      </x:c>
      <x:c r="P29" s="47" t="str">
        <x:v>Sales Rep A - Massachusetts</x:v>
      </x:c>
      <x:c r="Q29" s="47" t="str">
        <x:v>https://www.epa.gov/ghgreporting/data-sets</x:v>
      </x:c>
      <x:c r="R29" s="44" t="n">
        <x:v>1002299</x:v>
      </x:c>
      <x:c r="S29" s="45" t="n">
        <x:f>VLOOKUP(H29,'Rules and Assumptions'!$A$5:$B$10,2,FALSE)</x:f>
        <x:v>20</x:v>
      </x:c>
      <x:c r="T29" s="45" t="n">
        <x:f>VLOOKUP(E29,'Rules and Assumptions'!$D$5:$F$15,2,FALSE)</x:f>
        <x:v>22</x:v>
      </x:c>
      <x:c r="U29" s="45" t="n">
        <x:f>VLOOKUP(J29,'Rules and Assumptions'!$H$5:$J$9,2,TRUE)</x:f>
        <x:v>15</x:v>
      </x:c>
      <x:c r="V29" s="45" t="n">
        <x:f>IF(D29&lt;&gt;"",4,0)+IF(F29&lt;&gt;"",2,0)+IF(G29&lt;&gt;"",1,0)+IF(L29&lt;&gt;"",2,0)+IF(R29&lt;&gt;"",1,0)</x:f>
        <x:v>10</x:v>
      </x:c>
      <x:c r="W29" s="45" t="n">
        <x:f>VLOOKUP(E29,'Rules and Assumptions'!$D$5:$F$15,3,FALSE)</x:f>
        <x:v>10</x:v>
      </x:c>
      <x:c r="X29" s="45" t="n">
        <x:f>SUM(S29:W29)</x:f>
        <x:v>77</x:v>
      </x:c>
      <x:c r="Y29" s="45" t="n">
        <x:f>RANK.EQ(X29,$X$5:$X$164,0)+COUNTIF($X$5:X29,X29)-1</x:f>
        <x:v>25</x:v>
      </x:c>
      <x:c r="Z29" s="43" t="str">
        <x:f>IF(Y29&lt;='Rules and Assumptions'!$M$5,"High",IF(Y29&lt;='Rules and Assumptions'!$M$6,"Medium","Low"))</x:f>
        <x:v>High</x:v>
      </x:c>
      <x:c r="AA29" s="43" t="str">
        <x:f>LOWER(TRIM(B29))</x:f>
        <x:v>ghgrp-1002299</x:v>
      </x:c>
      <x:c r="AB29" s="43" t="str">
        <x:f>IF(COUNTIF($AA$5:$AA$164,AA29)&gt;1,"Review","Unique")</x:f>
        <x:v>Unique</x:v>
      </x:c>
      <x:c r="AC29" s="47" t="str">
        <x:v>General commercial or institutional facility; validate site portfolio and purchasing authority.</x:v>
      </x:c>
      <x:c r="AD29" s="46" t="n">
        <x:v>45520</x:v>
      </x:c>
    </x:row>
    <x:row r="30">
      <x:c r="A30" s="41" t="str">
        <x:v>NE-026</x:v>
      </x:c>
      <x:c r="B30" s="41" t="str">
        <x:v>GHGRP-1003037</x:v>
      </x:c>
      <x:c r="C30" s="47" t="str">
        <x:v>SAINT-GOBAIN ABRASIVES and SAINT-GOBAIN CERAMICS &amp; PLASTICS, INC. - Worcester, MA</x:v>
      </x:c>
      <x:c r="D30" s="47" t="str">
        <x:v>SAINT-GOBAIN CORP</x:v>
      </x:c>
      <x:c r="E30" s="47" t="str">
        <x:v>Minerals</x:v>
      </x:c>
      <x:c r="F30" s="41" t="str">
        <x:v>327910</x:v>
      </x:c>
      <x:c r="G30" s="41" t="str">
        <x:v>Worcester</x:v>
      </x:c>
      <x:c r="H30" s="41" t="str">
        <x:v>MA</x:v>
      </x:c>
      <x:c r="I30" s="41" t="str">
        <x:v>01615</x:v>
      </x:c>
      <x:c r="J30" s="42" t="n">
        <x:v>43771.242</x:v>
      </x:c>
      <x:c r="K30" s="43" t="str">
        <x:f>VLOOKUP(J30,'Rules and Assumptions'!$H$5:$J$9,3,TRUE)</x:f>
        <x:v>Small Reporting Load</x:v>
      </x:c>
      <x:c r="L30" s="47" t="str">
        <x:v>Plant Manager</x:v>
      </x:c>
      <x:c r="M30" s="47" t="str">
        <x:v>Director of Strategic Sourcing</x:v>
      </x:c>
      <x:c r="N30" s="47" t="str">
        <x:v>Role identified; person not yet verified</x:v>
      </x:c>
      <x:c r="O30" s="47" t="str">
        <x:v>Industrial High-Load</x:v>
      </x:c>
      <x:c r="P30" s="47" t="str">
        <x:v>Sales Rep A - Massachusetts</x:v>
      </x:c>
      <x:c r="Q30" s="47" t="str">
        <x:v>https://www.epa.gov/ghgreporting/data-sets</x:v>
      </x:c>
      <x:c r="R30" s="44" t="n">
        <x:v>1003037</x:v>
      </x:c>
      <x:c r="S30" s="45" t="n">
        <x:f>VLOOKUP(H30,'Rules and Assumptions'!$A$5:$B$10,2,FALSE)</x:f>
        <x:v>20</x:v>
      </x:c>
      <x:c r="T30" s="45" t="n">
        <x:f>VLOOKUP(E30,'Rules and Assumptions'!$D$5:$F$15,2,FALSE)</x:f>
        <x:v>26</x:v>
      </x:c>
      <x:c r="U30" s="45" t="n">
        <x:f>VLOOKUP(J30,'Rules and Assumptions'!$H$5:$J$9,2,TRUE)</x:f>
        <x:v>10</x:v>
      </x:c>
      <x:c r="V30" s="45" t="n">
        <x:f>IF(D30&lt;&gt;"",4,0)+IF(F30&lt;&gt;"",2,0)+IF(G30&lt;&gt;"",1,0)+IF(L30&lt;&gt;"",2,0)+IF(R30&lt;&gt;"",1,0)</x:f>
        <x:v>10</x:v>
      </x:c>
      <x:c r="W30" s="45" t="n">
        <x:f>VLOOKUP(E30,'Rules and Assumptions'!$D$5:$F$15,3,FALSE)</x:f>
        <x:v>10</x:v>
      </x:c>
      <x:c r="X30" s="45" t="n">
        <x:f>SUM(S30:W30)</x:f>
        <x:v>76</x:v>
      </x:c>
      <x:c r="Y30" s="45" t="n">
        <x:f>RANK.EQ(X30,$X$5:$X$164,0)+COUNTIF($X$5:X30,X30)-1</x:f>
        <x:v>26</x:v>
      </x:c>
      <x:c r="Z30" s="43" t="str">
        <x:f>IF(Y30&lt;='Rules and Assumptions'!$M$5,"High",IF(Y30&lt;='Rules and Assumptions'!$M$6,"Medium","Low"))</x:f>
        <x:v>High</x:v>
      </x:c>
      <x:c r="AA30" s="43" t="str">
        <x:f>LOWER(TRIM(B30))</x:f>
        <x:v>ghgrp-1003037</x:v>
      </x:c>
      <x:c r="AB30" s="43" t="str">
        <x:f>IF(COUNTIF($AA$5:$AA$164,AA30)&gt;1,"Review","Unique")</x:f>
        <x:v>Unique</x:v>
      </x:c>
      <x:c r="AC30" s="47" t="str">
        <x:v>Industrial process-load prospect with potential power and natural-gas purchasing needs.</x:v>
      </x:c>
      <x:c r="AD30" s="46" t="n">
        <x:v>45520</x:v>
      </x:c>
    </x:row>
    <x:row r="31">
      <x:c r="A31" s="41" t="str">
        <x:v>NE-027</x:v>
      </x:c>
      <x:c r="B31" s="41" t="str">
        <x:v>GHGRP-1002834</x:v>
      </x:c>
      <x:c r="C31" s="47" t="str">
        <x:v>Gorham Acquisition LLC - Gorham, NH</x:v>
      </x:c>
      <x:c r="D31" s="47" t="str">
        <x:v>GORHAM ACQUISITION LLC</x:v>
      </x:c>
      <x:c r="E31" s="47" t="str">
        <x:v>Pulp and Paper</x:v>
      </x:c>
      <x:c r="F31" s="41" t="str">
        <x:v>322120</x:v>
      </x:c>
      <x:c r="G31" s="41" t="str">
        <x:v>Gorham</x:v>
      </x:c>
      <x:c r="H31" s="41" t="str">
        <x:v>NH</x:v>
      </x:c>
      <x:c r="I31" s="41" t="str">
        <x:v>03581</x:v>
      </x:c>
      <x:c r="J31" s="42" t="n">
        <x:v>12626.952</x:v>
      </x:c>
      <x:c r="K31" s="43" t="str">
        <x:f>VLOOKUP(J31,'Rules and Assumptions'!$H$5:$J$9,3,TRUE)</x:f>
        <x:v>Small Reporting Load</x:v>
      </x:c>
      <x:c r="L31" s="47" t="str">
        <x:v>Energy Manager</x:v>
      </x:c>
      <x:c r="M31" s="47" t="str">
        <x:v>Director of Procurement</x:v>
      </x:c>
      <x:c r="N31" s="47" t="str">
        <x:v>Role identified; person not yet verified</x:v>
      </x:c>
      <x:c r="O31" s="47" t="str">
        <x:v>Industrial High-Load</x:v>
      </x:c>
      <x:c r="P31" s="47" t="str">
        <x:v>Sales Rep C - Northern New England</x:v>
      </x:c>
      <x:c r="Q31" s="47" t="str">
        <x:v>https://www.epa.gov/ghgreporting/data-sets</x:v>
      </x:c>
      <x:c r="R31" s="44" t="n">
        <x:v>1002834</x:v>
      </x:c>
      <x:c r="S31" s="45" t="n">
        <x:f>VLOOKUP(H31,'Rules and Assumptions'!$A$5:$B$10,2,FALSE)</x:f>
        <x:v>16</x:v>
      </x:c>
      <x:c r="T31" s="45" t="n">
        <x:f>VLOOKUP(E31,'Rules and Assumptions'!$D$5:$F$15,2,FALSE)</x:f>
        <x:v>30</x:v>
      </x:c>
      <x:c r="U31" s="45" t="n">
        <x:f>VLOOKUP(J31,'Rules and Assumptions'!$H$5:$J$9,2,TRUE)</x:f>
        <x:v>10</x:v>
      </x:c>
      <x:c r="V31" s="45" t="n">
        <x:f>IF(D31&lt;&gt;"",4,0)+IF(F31&lt;&gt;"",2,0)+IF(G31&lt;&gt;"",1,0)+IF(L31&lt;&gt;"",2,0)+IF(R31&lt;&gt;"",1,0)</x:f>
        <x:v>10</x:v>
      </x:c>
      <x:c r="W31" s="45" t="n">
        <x:f>VLOOKUP(E31,'Rules and Assumptions'!$D$5:$F$15,3,FALSE)</x:f>
        <x:v>10</x:v>
      </x:c>
      <x:c r="X31" s="45" t="n">
        <x:f>SUM(S31:W31)</x:f>
        <x:v>76</x:v>
      </x:c>
      <x:c r="Y31" s="45" t="n">
        <x:f>RANK.EQ(X31,$X$5:$X$164,0)+COUNTIF($X$5:X31,X31)-1</x:f>
        <x:v>27</x:v>
      </x:c>
      <x:c r="Z31" s="43" t="str">
        <x:f>IF(Y31&lt;='Rules and Assumptions'!$M$5,"High",IF(Y31&lt;='Rules and Assumptions'!$M$6,"Medium","Low"))</x:f>
        <x:v>High</x:v>
      </x:c>
      <x:c r="AA31" s="43" t="str">
        <x:f>LOWER(TRIM(B31))</x:f>
        <x:v>ghgrp-1002834</x:v>
      </x:c>
      <x:c r="AB31" s="43" t="str">
        <x:f>IF(COUNTIF($AA$5:$AA$164,AA31)&gt;1,"Review","Unique")</x:f>
        <x:v>Unique</x:v>
      </x:c>
      <x:c r="AC31" s="47" t="str">
        <x:v>High-load manufacturing prospect with a clear energy-management and procurement use case.</x:v>
      </x:c>
      <x:c r="AD31" s="46" t="n">
        <x:v>45520</x:v>
      </x:c>
    </x:row>
    <x:row r="32">
      <x:c r="A32" s="41" t="str">
        <x:v>NE-028</x:v>
      </x:c>
      <x:c r="B32" s="41" t="str">
        <x:v>GHGRP-1007879</x:v>
      </x:c>
      <x:c r="C32" s="47" t="str">
        <x:v>WM of NH - TREE (Turnkey Landfill) - Gonic, NH</x:v>
      </x:c>
      <x:c r="D32" s="47" t="str">
        <x:v>WASTE MANAGEMENT INC</x:v>
      </x:c>
      <x:c r="E32" s="47" t="str">
        <x:v>Waste</x:v>
      </x:c>
      <x:c r="F32" s="41" t="str">
        <x:v>562212</x:v>
      </x:c>
      <x:c r="G32" s="41" t="str">
        <x:v>Gonic</x:v>
      </x:c>
      <x:c r="H32" s="41" t="str">
        <x:v>NH</x:v>
      </x:c>
      <x:c r="I32" s="41" t="str">
        <x:v>03839</x:v>
      </x:c>
      <x:c r="J32" s="42" t="n">
        <x:v>128922.32</x:v>
      </x:c>
      <x:c r="K32" s="43" t="str">
        <x:f>VLOOKUP(J32,'Rules and Assumptions'!$H$5:$J$9,3,TRUE)</x:f>
        <x:v>Large Reporting Load</x:v>
      </x:c>
      <x:c r="L32" s="47" t="str">
        <x:v>Director of Operations</x:v>
      </x:c>
      <x:c r="M32" s="47" t="str">
        <x:v>Facilities Manager</x:v>
      </x:c>
      <x:c r="N32" s="47" t="str">
        <x:v>Role identified; person not yet verified</x:v>
      </x:c>
      <x:c r="O32" s="47" t="str">
        <x:v>Waste and Environmental</x:v>
      </x:c>
      <x:c r="P32" s="47" t="str">
        <x:v>Sales Rep C - Northern New England</x:v>
      </x:c>
      <x:c r="Q32" s="47" t="str">
        <x:v>https://www.epa.gov/ghgreporting/data-sets</x:v>
      </x:c>
      <x:c r="R32" s="44" t="n">
        <x:v>1007879</x:v>
      </x:c>
      <x:c r="S32" s="45" t="n">
        <x:f>VLOOKUP(H32,'Rules and Assumptions'!$A$5:$B$10,2,FALSE)</x:f>
        <x:v>16</x:v>
      </x:c>
      <x:c r="T32" s="45" t="n">
        <x:f>VLOOKUP(E32,'Rules and Assumptions'!$D$5:$F$15,2,FALSE)</x:f>
        <x:v>20</x:v>
      </x:c>
      <x:c r="U32" s="45" t="n">
        <x:f>VLOOKUP(J32,'Rules and Assumptions'!$H$5:$J$9,2,TRUE)</x:f>
        <x:v>20</x:v>
      </x:c>
      <x:c r="V32" s="45" t="n">
        <x:f>IF(D32&lt;&gt;"",4,0)+IF(F32&lt;&gt;"",2,0)+IF(G32&lt;&gt;"",1,0)+IF(L32&lt;&gt;"",2,0)+IF(R32&lt;&gt;"",1,0)</x:f>
        <x:v>10</x:v>
      </x:c>
      <x:c r="W32" s="45" t="n">
        <x:f>VLOOKUP(E32,'Rules and Assumptions'!$D$5:$F$15,3,FALSE)</x:f>
        <x:v>9</x:v>
      </x:c>
      <x:c r="X32" s="45" t="n">
        <x:f>SUM(S32:W32)</x:f>
        <x:v>75</x:v>
      </x:c>
      <x:c r="Y32" s="45" t="n">
        <x:f>RANK.EQ(X32,$X$5:$X$164,0)+COUNTIF($X$5:X32,X32)-1</x:f>
        <x:v>28</x:v>
      </x:c>
      <x:c r="Z32" s="43" t="str">
        <x:f>IF(Y32&lt;='Rules and Assumptions'!$M$5,"High",IF(Y32&lt;='Rules and Assumptions'!$M$6,"Medium","Low"))</x:f>
        <x:v>High</x:v>
      </x:c>
      <x:c r="AA32" s="43" t="str">
        <x:f>LOWER(TRIM(B32))</x:f>
        <x:v>ghgrp-1007879</x:v>
      </x:c>
      <x:c r="AB32" s="43" t="str">
        <x:f>IF(COUNTIF($AA$5:$AA$164,AA32)&gt;1,"Review","Unique")</x:f>
        <x:v>Unique</x:v>
      </x:c>
      <x:c r="AC32" s="47" t="str">
        <x:v>Waste-sector facility; qualify electricity, natural-gas, and multi-site purchasing needs.</x:v>
      </x:c>
      <x:c r="AD32" s="46" t="n">
        <x:v>45520</x:v>
      </x:c>
    </x:row>
    <x:row r="33">
      <x:c r="A33" s="41" t="str">
        <x:v>NE-029</x:v>
      </x:c>
      <x:c r="B33" s="41" t="str">
        <x:v>GHGRP-1002744</x:v>
      </x:c>
      <x:c r="C33" s="47" t="str">
        <x:v>SOUTHEASTERN CT RESOURCE RECOVERY FACILITY - Preston, CT</x:v>
      </x:c>
      <x:c r="D33" s="47" t="str">
        <x:v>COVANTA HOLDING CORP</x:v>
      </x:c>
      <x:c r="E33" s="47" t="str">
        <x:v>Waste</x:v>
      </x:c>
      <x:c r="F33" s="41" t="str">
        <x:v>562213</x:v>
      </x:c>
      <x:c r="G33" s="41" t="str">
        <x:v>Preston</x:v>
      </x:c>
      <x:c r="H33" s="41" t="str">
        <x:v>CT</x:v>
      </x:c>
      <x:c r="I33" s="41" t="str">
        <x:v>06365</x:v>
      </x:c>
      <x:c r="J33" s="42" t="n">
        <x:v>103872.84</x:v>
      </x:c>
      <x:c r="K33" s="43" t="str">
        <x:f>VLOOKUP(J33,'Rules and Assumptions'!$H$5:$J$9,3,TRUE)</x:f>
        <x:v>Large Reporting Load</x:v>
      </x:c>
      <x:c r="L33" s="47" t="str">
        <x:v>Director of Operations</x:v>
      </x:c>
      <x:c r="M33" s="47" t="str">
        <x:v>Facilities Manager</x:v>
      </x:c>
      <x:c r="N33" s="47" t="str">
        <x:v>Role identified; person not yet verified</x:v>
      </x:c>
      <x:c r="O33" s="47" t="str">
        <x:v>Waste and Environmental</x:v>
      </x:c>
      <x:c r="P33" s="47" t="str">
        <x:v>Sales Rep B - Connecticut/Rhode Island</x:v>
      </x:c>
      <x:c r="Q33" s="47" t="str">
        <x:v>https://www.epa.gov/ghgreporting/data-sets</x:v>
      </x:c>
      <x:c r="R33" s="44" t="n">
        <x:v>1002744</x:v>
      </x:c>
      <x:c r="S33" s="45" t="n">
        <x:f>VLOOKUP(H33,'Rules and Assumptions'!$A$5:$B$10,2,FALSE)</x:f>
        <x:v>16</x:v>
      </x:c>
      <x:c r="T33" s="45" t="n">
        <x:f>VLOOKUP(E33,'Rules and Assumptions'!$D$5:$F$15,2,FALSE)</x:f>
        <x:v>20</x:v>
      </x:c>
      <x:c r="U33" s="45" t="n">
        <x:f>VLOOKUP(J33,'Rules and Assumptions'!$H$5:$J$9,2,TRUE)</x:f>
        <x:v>20</x:v>
      </x:c>
      <x:c r="V33" s="45" t="n">
        <x:f>IF(D33&lt;&gt;"",4,0)+IF(F33&lt;&gt;"",2,0)+IF(G33&lt;&gt;"",1,0)+IF(L33&lt;&gt;"",2,0)+IF(R33&lt;&gt;"",1,0)</x:f>
        <x:v>10</x:v>
      </x:c>
      <x:c r="W33" s="45" t="n">
        <x:f>VLOOKUP(E33,'Rules and Assumptions'!$D$5:$F$15,3,FALSE)</x:f>
        <x:v>9</x:v>
      </x:c>
      <x:c r="X33" s="45" t="n">
        <x:f>SUM(S33:W33)</x:f>
        <x:v>75</x:v>
      </x:c>
      <x:c r="Y33" s="45" t="n">
        <x:f>RANK.EQ(X33,$X$5:$X$164,0)+COUNTIF($X$5:X33,X33)-1</x:f>
        <x:v>29</x:v>
      </x:c>
      <x:c r="Z33" s="43" t="str">
        <x:f>IF(Y33&lt;='Rules and Assumptions'!$M$5,"High",IF(Y33&lt;='Rules and Assumptions'!$M$6,"Medium","Low"))</x:f>
        <x:v>High</x:v>
      </x:c>
      <x:c r="AA33" s="43" t="str">
        <x:f>LOWER(TRIM(B33))</x:f>
        <x:v>ghgrp-1002744</x:v>
      </x:c>
      <x:c r="AB33" s="43" t="str">
        <x:f>IF(COUNTIF($AA$5:$AA$164,AA33)&gt;1,"Review","Unique")</x:f>
        <x:v>Unique</x:v>
      </x:c>
      <x:c r="AC33" s="47" t="str">
        <x:v>Waste-sector facility; qualify electricity, natural-gas, and multi-site purchasing needs.</x:v>
      </x:c>
      <x:c r="AD33" s="46" t="n">
        <x:v>45520</x:v>
      </x:c>
    </x:row>
    <x:row r="34">
      <x:c r="A34" s="41" t="str">
        <x:v>NE-030</x:v>
      </x:c>
      <x:c r="B34" s="41" t="str">
        <x:v>GHGRP-1003726</x:v>
      </x:c>
      <x:c r="C34" s="47" t="str">
        <x:v>GLOBALFOUNDRIES U.S. 2 LLC - Vermont Facility - Essex Junction, VT</x:v>
      </x:c>
      <x:c r="D34" s="47" t="str">
        <x:v>GLOBALFOUNDRIES US INC</x:v>
      </x:c>
      <x:c r="E34" s="47" t="str">
        <x:v>Other</x:v>
      </x:c>
      <x:c r="F34" s="41" t="str">
        <x:v>334413</x:v>
      </x:c>
      <x:c r="G34" s="41" t="str">
        <x:v>Essex Junction</x:v>
      </x:c>
      <x:c r="H34" s="41" t="str">
        <x:v>VT</x:v>
      </x:c>
      <x:c r="I34" s="41" t="str">
        <x:v>05452</x:v>
      </x:c>
      <x:c r="J34" s="42" t="n">
        <x:v>142164.617172</x:v>
      </x:c>
      <x:c r="K34" s="43" t="str">
        <x:f>VLOOKUP(J34,'Rules and Assumptions'!$H$5:$J$9,3,TRUE)</x:f>
        <x:v>Large Reporting Load</x:v>
      </x:c>
      <x:c r="L34" s="47" t="str">
        <x:v>Director of Facilities</x:v>
      </x:c>
      <x:c r="M34" s="47" t="str">
        <x:v>Energy and Sustainability Manager</x:v>
      </x:c>
      <x:c r="N34" s="47" t="str">
        <x:v>Role identified; person not yet verified</x:v>
      </x:c>
      <x:c r="O34" s="47" t="str">
        <x:v>Facilities and Institutions</x:v>
      </x:c>
      <x:c r="P34" s="47" t="str">
        <x:v>Sales Rep C - Northern New England</x:v>
      </x:c>
      <x:c r="Q34" s="47" t="str">
        <x:v>https://www.epa.gov/ghgreporting/data-sets</x:v>
      </x:c>
      <x:c r="R34" s="44" t="n">
        <x:v>1003726</x:v>
      </x:c>
      <x:c r="S34" s="45" t="n">
        <x:f>VLOOKUP(H34,'Rules and Assumptions'!$A$5:$B$10,2,FALSE)</x:f>
        <x:v>12</x:v>
      </x:c>
      <x:c r="T34" s="45" t="n">
        <x:f>VLOOKUP(E34,'Rules and Assumptions'!$D$5:$F$15,2,FALSE)</x:f>
        <x:v>22</x:v>
      </x:c>
      <x:c r="U34" s="45" t="n">
        <x:f>VLOOKUP(J34,'Rules and Assumptions'!$H$5:$J$9,2,TRUE)</x:f>
        <x:v>20</x:v>
      </x:c>
      <x:c r="V34" s="45" t="n">
        <x:f>IF(D34&lt;&gt;"",4,0)+IF(F34&lt;&gt;"",2,0)+IF(G34&lt;&gt;"",1,0)+IF(L34&lt;&gt;"",2,0)+IF(R34&lt;&gt;"",1,0)</x:f>
        <x:v>10</x:v>
      </x:c>
      <x:c r="W34" s="45" t="n">
        <x:f>VLOOKUP(E34,'Rules and Assumptions'!$D$5:$F$15,3,FALSE)</x:f>
        <x:v>10</x:v>
      </x:c>
      <x:c r="X34" s="45" t="n">
        <x:f>SUM(S34:W34)</x:f>
        <x:v>74</x:v>
      </x:c>
      <x:c r="Y34" s="45" t="n">
        <x:f>RANK.EQ(X34,$X$5:$X$164,0)+COUNTIF($X$5:X34,X34)-1</x:f>
        <x:v>30</x:v>
      </x:c>
      <x:c r="Z34" s="43" t="str">
        <x:f>IF(Y34&lt;='Rules and Assumptions'!$M$5,"High",IF(Y34&lt;='Rules and Assumptions'!$M$6,"Medium","Low"))</x:f>
        <x:v>High</x:v>
      </x:c>
      <x:c r="AA34" s="43" t="str">
        <x:f>LOWER(TRIM(B34))</x:f>
        <x:v>ghgrp-1003726</x:v>
      </x:c>
      <x:c r="AB34" s="43" t="str">
        <x:f>IF(COUNTIF($AA$5:$AA$164,AA34)&gt;1,"Review","Unique")</x:f>
        <x:v>Unique</x:v>
      </x:c>
      <x:c r="AC34" s="47" t="str">
        <x:v>General commercial or institutional facility; validate site portfolio and purchasing authority.</x:v>
      </x:c>
      <x:c r="AD34" s="46" t="n">
        <x:v>45520</x:v>
      </x:c>
    </x:row>
    <x:row r="35">
      <x:c r="A35" s="41" t="str">
        <x:v>NE-031</x:v>
      </x:c>
      <x:c r="B35" s="41" t="str">
        <x:v>GHGRP-1004800</x:v>
      </x:c>
      <x:c r="C35" s="47" t="str">
        <x:v>YALE UNIVERSITY - SCHOOL OF MEDICINE - New Haven, CT</x:v>
      </x:c>
      <x:c r="D35" s="47" t="str">
        <x:v>THE YALE CORP</x:v>
      </x:c>
      <x:c r="E35" s="47" t="str">
        <x:v>Other</x:v>
      </x:c>
      <x:c r="F35" s="41" t="str">
        <x:v>611310</x:v>
      </x:c>
      <x:c r="G35" s="41" t="str">
        <x:v>New Haven</x:v>
      </x:c>
      <x:c r="H35" s="41" t="str">
        <x:v>CT</x:v>
      </x:c>
      <x:c r="I35" s="41" t="str">
        <x:v>06520</x:v>
      </x:c>
      <x:c r="J35" s="42" t="n">
        <x:v>98780.96</x:v>
      </x:c>
      <x:c r="K35" s="43" t="str">
        <x:f>VLOOKUP(J35,'Rules and Assumptions'!$H$5:$J$9,3,TRUE)</x:f>
        <x:v>Mid Reporting Load</x:v>
      </x:c>
      <x:c r="L35" s="47" t="str">
        <x:v>Director of Facilities</x:v>
      </x:c>
      <x:c r="M35" s="47" t="str">
        <x:v>Energy and Sustainability Manager</x:v>
      </x:c>
      <x:c r="N35" s="47" t="str">
        <x:v>Role identified; person not yet verified</x:v>
      </x:c>
      <x:c r="O35" s="47" t="str">
        <x:v>Facilities and Institutions</x:v>
      </x:c>
      <x:c r="P35" s="47" t="str">
        <x:v>Sales Rep B - Connecticut/Rhode Island</x:v>
      </x:c>
      <x:c r="Q35" s="47" t="str">
        <x:v>https://www.epa.gov/ghgreporting/data-sets</x:v>
      </x:c>
      <x:c r="R35" s="44" t="n">
        <x:v>1004800</x:v>
      </x:c>
      <x:c r="S35" s="45" t="n">
        <x:f>VLOOKUP(H35,'Rules and Assumptions'!$A$5:$B$10,2,FALSE)</x:f>
        <x:v>16</x:v>
      </x:c>
      <x:c r="T35" s="45" t="n">
        <x:f>VLOOKUP(E35,'Rules and Assumptions'!$D$5:$F$15,2,FALSE)</x:f>
        <x:v>22</x:v>
      </x:c>
      <x:c r="U35" s="45" t="n">
        <x:f>VLOOKUP(J35,'Rules and Assumptions'!$H$5:$J$9,2,TRUE)</x:f>
        <x:v>15</x:v>
      </x:c>
      <x:c r="V35" s="45" t="n">
        <x:f>IF(D35&lt;&gt;"",4,0)+IF(F35&lt;&gt;"",2,0)+IF(G35&lt;&gt;"",1,0)+IF(L35&lt;&gt;"",2,0)+IF(R35&lt;&gt;"",1,0)</x:f>
        <x:v>10</x:v>
      </x:c>
      <x:c r="W35" s="45" t="n">
        <x:f>VLOOKUP(E35,'Rules and Assumptions'!$D$5:$F$15,3,FALSE)</x:f>
        <x:v>10</x:v>
      </x:c>
      <x:c r="X35" s="45" t="n">
        <x:f>SUM(S35:W35)</x:f>
        <x:v>73</x:v>
      </x:c>
      <x:c r="Y35" s="45" t="n">
        <x:f>RANK.EQ(X35,$X$5:$X$164,0)+COUNTIF($X$5:X35,X35)-1</x:f>
        <x:v>31</x:v>
      </x:c>
      <x:c r="Z35" s="43" t="str">
        <x:f>IF(Y35&lt;='Rules and Assumptions'!$M$5,"High",IF(Y35&lt;='Rules and Assumptions'!$M$6,"Medium","Low"))</x:f>
        <x:v>Medium</x:v>
      </x:c>
      <x:c r="AA35" s="43" t="str">
        <x:f>LOWER(TRIM(B35))</x:f>
        <x:v>ghgrp-1004800</x:v>
      </x:c>
      <x:c r="AB35" s="43" t="str">
        <x:f>IF(COUNTIF($AA$5:$AA$164,AA35)&gt;1,"Review","Unique")</x:f>
        <x:v>Unique</x:v>
      </x:c>
      <x:c r="AC35" s="47" t="str">
        <x:v>General commercial or institutional facility; validate site portfolio and purchasing authority.</x:v>
      </x:c>
      <x:c r="AD35" s="46" t="n">
        <x:v>45520</x:v>
      </x:c>
    </x:row>
    <x:row r="36">
      <x:c r="A36" s="41" t="str">
        <x:v>NE-032</x:v>
      </x:c>
      <x:c r="B36" s="41" t="str">
        <x:v>GHGRP-1000338</x:v>
      </x:c>
      <x:c r="C36" s="47" t="str">
        <x:v>TORAY PLASTICS (AMERICA), INC. - North Kingstown, RI</x:v>
      </x:c>
      <x:c r="D36" s="47" t="str">
        <x:v>TORAY INDUSTRIES AMERICA INC</x:v>
      </x:c>
      <x:c r="E36" s="47" t="str">
        <x:v>Other</x:v>
      </x:c>
      <x:c r="F36" s="41" t="str">
        <x:v>326112</x:v>
      </x:c>
      <x:c r="G36" s="41" t="str">
        <x:v>North Kingstown</x:v>
      </x:c>
      <x:c r="H36" s="41" t="str">
        <x:v>RI</x:v>
      </x:c>
      <x:c r="I36" s="41" t="str">
        <x:v>02852</x:v>
      </x:c>
      <x:c r="J36" s="42" t="n">
        <x:v>95863.888</x:v>
      </x:c>
      <x:c r="K36" s="43" t="str">
        <x:f>VLOOKUP(J36,'Rules and Assumptions'!$H$5:$J$9,3,TRUE)</x:f>
        <x:v>Mid Reporting Load</x:v>
      </x:c>
      <x:c r="L36" s="47" t="str">
        <x:v>Director of Facilities</x:v>
      </x:c>
      <x:c r="M36" s="47" t="str">
        <x:v>Energy and Sustainability Manager</x:v>
      </x:c>
      <x:c r="N36" s="47" t="str">
        <x:v>Role identified; person not yet verified</x:v>
      </x:c>
      <x:c r="O36" s="47" t="str">
        <x:v>Facilities and Institutions</x:v>
      </x:c>
      <x:c r="P36" s="47" t="str">
        <x:v>Sales Rep B - Connecticut/Rhode Island</x:v>
      </x:c>
      <x:c r="Q36" s="47" t="str">
        <x:v>https://www.epa.gov/ghgreporting/data-sets</x:v>
      </x:c>
      <x:c r="R36" s="44" t="n">
        <x:v>1000338</x:v>
      </x:c>
      <x:c r="S36" s="45" t="n">
        <x:f>VLOOKUP(H36,'Rules and Assumptions'!$A$5:$B$10,2,FALSE)</x:f>
        <x:v>16</x:v>
      </x:c>
      <x:c r="T36" s="45" t="n">
        <x:f>VLOOKUP(E36,'Rules and Assumptions'!$D$5:$F$15,2,FALSE)</x:f>
        <x:v>22</x:v>
      </x:c>
      <x:c r="U36" s="45" t="n">
        <x:f>VLOOKUP(J36,'Rules and Assumptions'!$H$5:$J$9,2,TRUE)</x:f>
        <x:v>15</x:v>
      </x:c>
      <x:c r="V36" s="45" t="n">
        <x:f>IF(D36&lt;&gt;"",4,0)+IF(F36&lt;&gt;"",2,0)+IF(G36&lt;&gt;"",1,0)+IF(L36&lt;&gt;"",2,0)+IF(R36&lt;&gt;"",1,0)</x:f>
        <x:v>10</x:v>
      </x:c>
      <x:c r="W36" s="45" t="n">
        <x:f>VLOOKUP(E36,'Rules and Assumptions'!$D$5:$F$15,3,FALSE)</x:f>
        <x:v>10</x:v>
      </x:c>
      <x:c r="X36" s="45" t="n">
        <x:f>SUM(S36:W36)</x:f>
        <x:v>73</x:v>
      </x:c>
      <x:c r="Y36" s="45" t="n">
        <x:f>RANK.EQ(X36,$X$5:$X$164,0)+COUNTIF($X$5:X36,X36)-1</x:f>
        <x:v>32</x:v>
      </x:c>
      <x:c r="Z36" s="43" t="str">
        <x:f>IF(Y36&lt;='Rules and Assumptions'!$M$5,"High",IF(Y36&lt;='Rules and Assumptions'!$M$6,"Medium","Low"))</x:f>
        <x:v>Medium</x:v>
      </x:c>
      <x:c r="AA36" s="43" t="str">
        <x:f>LOWER(TRIM(B36))</x:f>
        <x:v>ghgrp-1000338</x:v>
      </x:c>
      <x:c r="AB36" s="43" t="str">
        <x:f>IF(COUNTIF($AA$5:$AA$164,AA36)&gt;1,"Review","Unique")</x:f>
        <x:v>Unique</x:v>
      </x:c>
      <x:c r="AC36" s="47" t="str">
        <x:v>General commercial or institutional facility; validate site portfolio and purchasing authority.</x:v>
      </x:c>
      <x:c r="AD36" s="46" t="n">
        <x:v>45520</x:v>
      </x:c>
    </x:row>
    <x:row r="37">
      <x:c r="A37" s="41" t="str">
        <x:v>NE-033</x:v>
      </x:c>
      <x:c r="B37" s="41" t="str">
        <x:v>GHGRP-1004835</x:v>
      </x:c>
      <x:c r="C37" s="47" t="str">
        <x:v>YALE UNIVERSITY CENTRAL POWER PLANT - New Haven, CT</x:v>
      </x:c>
      <x:c r="D37" s="47" t="str">
        <x:v>THE YALE CORP</x:v>
      </x:c>
      <x:c r="E37" s="47" t="str">
        <x:v>Other</x:v>
      </x:c>
      <x:c r="F37" s="41" t="str">
        <x:v>611310</x:v>
      </x:c>
      <x:c r="G37" s="41" t="str">
        <x:v>New Haven</x:v>
      </x:c>
      <x:c r="H37" s="41" t="str">
        <x:v>CT</x:v>
      </x:c>
      <x:c r="I37" s="41" t="str">
        <x:v>06520</x:v>
      </x:c>
      <x:c r="J37" s="42" t="n">
        <x:v>95583.674</x:v>
      </x:c>
      <x:c r="K37" s="43" t="str">
        <x:f>VLOOKUP(J37,'Rules and Assumptions'!$H$5:$J$9,3,TRUE)</x:f>
        <x:v>Mid Reporting Load</x:v>
      </x:c>
      <x:c r="L37" s="47" t="str">
        <x:v>Director of Facilities</x:v>
      </x:c>
      <x:c r="M37" s="47" t="str">
        <x:v>Energy and Sustainability Manager</x:v>
      </x:c>
      <x:c r="N37" s="47" t="str">
        <x:v>Role identified; person not yet verified</x:v>
      </x:c>
      <x:c r="O37" s="47" t="str">
        <x:v>Facilities and Institutions</x:v>
      </x:c>
      <x:c r="P37" s="47" t="str">
        <x:v>Sales Rep B - Connecticut/Rhode Island</x:v>
      </x:c>
      <x:c r="Q37" s="47" t="str">
        <x:v>https://www.epa.gov/ghgreporting/data-sets</x:v>
      </x:c>
      <x:c r="R37" s="44" t="n">
        <x:v>1004835</x:v>
      </x:c>
      <x:c r="S37" s="45" t="n">
        <x:f>VLOOKUP(H37,'Rules and Assumptions'!$A$5:$B$10,2,FALSE)</x:f>
        <x:v>16</x:v>
      </x:c>
      <x:c r="T37" s="45" t="n">
        <x:f>VLOOKUP(E37,'Rules and Assumptions'!$D$5:$F$15,2,FALSE)</x:f>
        <x:v>22</x:v>
      </x:c>
      <x:c r="U37" s="45" t="n">
        <x:f>VLOOKUP(J37,'Rules and Assumptions'!$H$5:$J$9,2,TRUE)</x:f>
        <x:v>15</x:v>
      </x:c>
      <x:c r="V37" s="45" t="n">
        <x:f>IF(D37&lt;&gt;"",4,0)+IF(F37&lt;&gt;"",2,0)+IF(G37&lt;&gt;"",1,0)+IF(L37&lt;&gt;"",2,0)+IF(R37&lt;&gt;"",1,0)</x:f>
        <x:v>10</x:v>
      </x:c>
      <x:c r="W37" s="45" t="n">
        <x:f>VLOOKUP(E37,'Rules and Assumptions'!$D$5:$F$15,3,FALSE)</x:f>
        <x:v>10</x:v>
      </x:c>
      <x:c r="X37" s="45" t="n">
        <x:f>SUM(S37:W37)</x:f>
        <x:v>73</x:v>
      </x:c>
      <x:c r="Y37" s="45" t="n">
        <x:f>RANK.EQ(X37,$X$5:$X$164,0)+COUNTIF($X$5:X37,X37)-1</x:f>
        <x:v>33</x:v>
      </x:c>
      <x:c r="Z37" s="43" t="str">
        <x:f>IF(Y37&lt;='Rules and Assumptions'!$M$5,"High",IF(Y37&lt;='Rules and Assumptions'!$M$6,"Medium","Low"))</x:f>
        <x:v>Medium</x:v>
      </x:c>
      <x:c r="AA37" s="43" t="str">
        <x:f>LOWER(TRIM(B37))</x:f>
        <x:v>ghgrp-1004835</x:v>
      </x:c>
      <x:c r="AB37" s="43" t="str">
        <x:f>IF(COUNTIF($AA$5:$AA$164,AA37)&gt;1,"Review","Unique")</x:f>
        <x:v>Unique</x:v>
      </x:c>
      <x:c r="AC37" s="47" t="str">
        <x:v>General commercial or institutional facility; validate site portfolio and purchasing authority.</x:v>
      </x:c>
      <x:c r="AD37" s="46" t="n">
        <x:v>45520</x:v>
      </x:c>
    </x:row>
    <x:row r="38">
      <x:c r="A38" s="41" t="str">
        <x:v>NE-034</x:v>
      </x:c>
      <x:c r="B38" s="41" t="str">
        <x:v>GHGRP-1004266</x:v>
      </x:c>
      <x:c r="C38" s="47" t="str">
        <x:v>UNIVERSITY OF CONNECTICUT - Storrs Mansfield, CT</x:v>
      </x:c>
      <x:c r="D38" s="47" t="str">
        <x:v>STATE OF CONNECTICUT</x:v>
      </x:c>
      <x:c r="E38" s="47" t="str">
        <x:v>Other</x:v>
      </x:c>
      <x:c r="F38" s="41" t="str">
        <x:v>611310</x:v>
      </x:c>
      <x:c r="G38" s="41" t="str">
        <x:v>Storrs Mansfield</x:v>
      </x:c>
      <x:c r="H38" s="41" t="str">
        <x:v>CT</x:v>
      </x:c>
      <x:c r="I38" s="41" t="str">
        <x:v>06269</x:v>
      </x:c>
      <x:c r="J38" s="42" t="n">
        <x:v>95455.93</x:v>
      </x:c>
      <x:c r="K38" s="43" t="str">
        <x:f>VLOOKUP(J38,'Rules and Assumptions'!$H$5:$J$9,3,TRUE)</x:f>
        <x:v>Mid Reporting Load</x:v>
      </x:c>
      <x:c r="L38" s="47" t="str">
        <x:v>Director of Facilities</x:v>
      </x:c>
      <x:c r="M38" s="47" t="str">
        <x:v>Energy and Sustainability Manager</x:v>
      </x:c>
      <x:c r="N38" s="47" t="str">
        <x:v>Role identified; person not yet verified</x:v>
      </x:c>
      <x:c r="O38" s="47" t="str">
        <x:v>Facilities and Institutions</x:v>
      </x:c>
      <x:c r="P38" s="47" t="str">
        <x:v>Sales Rep B - Connecticut/Rhode Island</x:v>
      </x:c>
      <x:c r="Q38" s="47" t="str">
        <x:v>https://www.epa.gov/ghgreporting/data-sets</x:v>
      </x:c>
      <x:c r="R38" s="44" t="n">
        <x:v>1004266</x:v>
      </x:c>
      <x:c r="S38" s="45" t="n">
        <x:f>VLOOKUP(H38,'Rules and Assumptions'!$A$5:$B$10,2,FALSE)</x:f>
        <x:v>16</x:v>
      </x:c>
      <x:c r="T38" s="45" t="n">
        <x:f>VLOOKUP(E38,'Rules and Assumptions'!$D$5:$F$15,2,FALSE)</x:f>
        <x:v>22</x:v>
      </x:c>
      <x:c r="U38" s="45" t="n">
        <x:f>VLOOKUP(J38,'Rules and Assumptions'!$H$5:$J$9,2,TRUE)</x:f>
        <x:v>15</x:v>
      </x:c>
      <x:c r="V38" s="45" t="n">
        <x:f>IF(D38&lt;&gt;"",4,0)+IF(F38&lt;&gt;"",2,0)+IF(G38&lt;&gt;"",1,0)+IF(L38&lt;&gt;"",2,0)+IF(R38&lt;&gt;"",1,0)</x:f>
        <x:v>10</x:v>
      </x:c>
      <x:c r="W38" s="45" t="n">
        <x:f>VLOOKUP(E38,'Rules and Assumptions'!$D$5:$F$15,3,FALSE)</x:f>
        <x:v>10</x:v>
      </x:c>
      <x:c r="X38" s="45" t="n">
        <x:f>SUM(S38:W38)</x:f>
        <x:v>73</x:v>
      </x:c>
      <x:c r="Y38" s="45" t="n">
        <x:f>RANK.EQ(X38,$X$5:$X$164,0)+COUNTIF($X$5:X38,X38)-1</x:f>
        <x:v>34</x:v>
      </x:c>
      <x:c r="Z38" s="43" t="str">
        <x:f>IF(Y38&lt;='Rules and Assumptions'!$M$5,"High",IF(Y38&lt;='Rules and Assumptions'!$M$6,"Medium","Low"))</x:f>
        <x:v>Medium</x:v>
      </x:c>
      <x:c r="AA38" s="43" t="str">
        <x:f>LOWER(TRIM(B38))</x:f>
        <x:v>ghgrp-1004266</x:v>
      </x:c>
      <x:c r="AB38" s="43" t="str">
        <x:f>IF(COUNTIF($AA$5:$AA$164,AA38)&gt;1,"Review","Unique")</x:f>
        <x:v>Unique</x:v>
      </x:c>
      <x:c r="AC38" s="47" t="str">
        <x:v>General commercial or institutional facility; validate site portfolio and purchasing authority.</x:v>
      </x:c>
      <x:c r="AD38" s="46" t="n">
        <x:v>45520</x:v>
      </x:c>
    </x:row>
    <x:row r="39">
      <x:c r="A39" s="41" t="str">
        <x:v>NE-035</x:v>
      </x:c>
      <x:c r="B39" s="41" t="str">
        <x:v>GHGRP-1006941</x:v>
      </x:c>
      <x:c r="C39" s="47" t="str">
        <x:v>Pfizer - Groton, CT</x:v>
      </x:c>
      <x:c r="D39" s="47" t="str">
        <x:v>PFIZER INC</x:v>
      </x:c>
      <x:c r="E39" s="47" t="str">
        <x:v>Other</x:v>
      </x:c>
      <x:c r="F39" s="41" t="str">
        <x:v>541714</x:v>
      </x:c>
      <x:c r="G39" s="41" t="str">
        <x:v>Groton</x:v>
      </x:c>
      <x:c r="H39" s="41" t="str">
        <x:v>CT</x:v>
      </x:c>
      <x:c r="I39" s="41" t="str">
        <x:v>06340</x:v>
      </x:c>
      <x:c r="J39" s="42" t="n">
        <x:v>88454.382</x:v>
      </x:c>
      <x:c r="K39" s="43" t="str">
        <x:f>VLOOKUP(J39,'Rules and Assumptions'!$H$5:$J$9,3,TRUE)</x:f>
        <x:v>Mid Reporting Load</x:v>
      </x:c>
      <x:c r="L39" s="47" t="str">
        <x:v>Director of Facilities</x:v>
      </x:c>
      <x:c r="M39" s="47" t="str">
        <x:v>Energy and Sustainability Manager</x:v>
      </x:c>
      <x:c r="N39" s="47" t="str">
        <x:v>Role identified; person not yet verified</x:v>
      </x:c>
      <x:c r="O39" s="47" t="str">
        <x:v>Facilities and Institutions</x:v>
      </x:c>
      <x:c r="P39" s="47" t="str">
        <x:v>Sales Rep B - Connecticut/Rhode Island</x:v>
      </x:c>
      <x:c r="Q39" s="47" t="str">
        <x:v>https://www.epa.gov/ghgreporting/data-sets</x:v>
      </x:c>
      <x:c r="R39" s="44" t="n">
        <x:v>1006941</x:v>
      </x:c>
      <x:c r="S39" s="45" t="n">
        <x:f>VLOOKUP(H39,'Rules and Assumptions'!$A$5:$B$10,2,FALSE)</x:f>
        <x:v>16</x:v>
      </x:c>
      <x:c r="T39" s="45" t="n">
        <x:f>VLOOKUP(E39,'Rules and Assumptions'!$D$5:$F$15,2,FALSE)</x:f>
        <x:v>22</x:v>
      </x:c>
      <x:c r="U39" s="45" t="n">
        <x:f>VLOOKUP(J39,'Rules and Assumptions'!$H$5:$J$9,2,TRUE)</x:f>
        <x:v>15</x:v>
      </x:c>
      <x:c r="V39" s="45" t="n">
        <x:f>IF(D39&lt;&gt;"",4,0)+IF(F39&lt;&gt;"",2,0)+IF(G39&lt;&gt;"",1,0)+IF(L39&lt;&gt;"",2,0)+IF(R39&lt;&gt;"",1,0)</x:f>
        <x:v>10</x:v>
      </x:c>
      <x:c r="W39" s="45" t="n">
        <x:f>VLOOKUP(E39,'Rules and Assumptions'!$D$5:$F$15,3,FALSE)</x:f>
        <x:v>10</x:v>
      </x:c>
      <x:c r="X39" s="45" t="n">
        <x:f>SUM(S39:W39)</x:f>
        <x:v>73</x:v>
      </x:c>
      <x:c r="Y39" s="45" t="n">
        <x:f>RANK.EQ(X39,$X$5:$X$164,0)+COUNTIF($X$5:X39,X39)-1</x:f>
        <x:v>35</x:v>
      </x:c>
      <x:c r="Z39" s="43" t="str">
        <x:f>IF(Y39&lt;='Rules and Assumptions'!$M$5,"High",IF(Y39&lt;='Rules and Assumptions'!$M$6,"Medium","Low"))</x:f>
        <x:v>Medium</x:v>
      </x:c>
      <x:c r="AA39" s="43" t="str">
        <x:f>LOWER(TRIM(B39))</x:f>
        <x:v>ghgrp-1006941</x:v>
      </x:c>
      <x:c r="AB39" s="43" t="str">
        <x:f>IF(COUNTIF($AA$5:$AA$164,AA39)&gt;1,"Review","Unique")</x:f>
        <x:v>Unique</x:v>
      </x:c>
      <x:c r="AC39" s="47" t="str">
        <x:v>General commercial or institutional facility; validate site portfolio and purchasing authority.</x:v>
      </x:c>
      <x:c r="AD39" s="46" t="n">
        <x:v>45520</x:v>
      </x:c>
    </x:row>
    <x:row r="40">
      <x:c r="A40" s="41" t="str">
        <x:v>NE-036</x:v>
      </x:c>
      <x:c r="B40" s="41" t="str">
        <x:v>GHGRP-1002437</x:v>
      </x:c>
      <x:c r="C40" s="47" t="str">
        <x:v>SIKORSKY AIRCRAFT HEADQUARTERS - Stratford, CT</x:v>
      </x:c>
      <x:c r="D40" s="47" t="str">
        <x:v>LOCKHEED MARTIN CORP</x:v>
      </x:c>
      <x:c r="E40" s="47" t="str">
        <x:v>Other</x:v>
      </x:c>
      <x:c r="F40" s="41" t="str">
        <x:v>336411</x:v>
      </x:c>
      <x:c r="G40" s="41" t="str">
        <x:v>Stratford</x:v>
      </x:c>
      <x:c r="H40" s="41" t="str">
        <x:v>CT</x:v>
      </x:c>
      <x:c r="I40" s="41" t="str">
        <x:v>06615</x:v>
      </x:c>
      <x:c r="J40" s="42" t="n">
        <x:v>52376.45</x:v>
      </x:c>
      <x:c r="K40" s="43" t="str">
        <x:f>VLOOKUP(J40,'Rules and Assumptions'!$H$5:$J$9,3,TRUE)</x:f>
        <x:v>Mid Reporting Load</x:v>
      </x:c>
      <x:c r="L40" s="47" t="str">
        <x:v>Director of Facilities</x:v>
      </x:c>
      <x:c r="M40" s="47" t="str">
        <x:v>Energy and Sustainability Manager</x:v>
      </x:c>
      <x:c r="N40" s="47" t="str">
        <x:v>Role identified; person not yet verified</x:v>
      </x:c>
      <x:c r="O40" s="47" t="str">
        <x:v>Facilities and Institutions</x:v>
      </x:c>
      <x:c r="P40" s="47" t="str">
        <x:v>Sales Rep B - Connecticut/Rhode Island</x:v>
      </x:c>
      <x:c r="Q40" s="47" t="str">
        <x:v>https://www.epa.gov/ghgreporting/data-sets</x:v>
      </x:c>
      <x:c r="R40" s="44" t="n">
        <x:v>1002437</x:v>
      </x:c>
      <x:c r="S40" s="45" t="n">
        <x:f>VLOOKUP(H40,'Rules and Assumptions'!$A$5:$B$10,2,FALSE)</x:f>
        <x:v>16</x:v>
      </x:c>
      <x:c r="T40" s="45" t="n">
        <x:f>VLOOKUP(E40,'Rules and Assumptions'!$D$5:$F$15,2,FALSE)</x:f>
        <x:v>22</x:v>
      </x:c>
      <x:c r="U40" s="45" t="n">
        <x:f>VLOOKUP(J40,'Rules and Assumptions'!$H$5:$J$9,2,TRUE)</x:f>
        <x:v>15</x:v>
      </x:c>
      <x:c r="V40" s="45" t="n">
        <x:f>IF(D40&lt;&gt;"",4,0)+IF(F40&lt;&gt;"",2,0)+IF(G40&lt;&gt;"",1,0)+IF(L40&lt;&gt;"",2,0)+IF(R40&lt;&gt;"",1,0)</x:f>
        <x:v>10</x:v>
      </x:c>
      <x:c r="W40" s="45" t="n">
        <x:f>VLOOKUP(E40,'Rules and Assumptions'!$D$5:$F$15,3,FALSE)</x:f>
        <x:v>10</x:v>
      </x:c>
      <x:c r="X40" s="45" t="n">
        <x:f>SUM(S40:W40)</x:f>
        <x:v>73</x:v>
      </x:c>
      <x:c r="Y40" s="45" t="n">
        <x:f>RANK.EQ(X40,$X$5:$X$164,0)+COUNTIF($X$5:X40,X40)-1</x:f>
        <x:v>36</x:v>
      </x:c>
      <x:c r="Z40" s="43" t="str">
        <x:f>IF(Y40&lt;='Rules and Assumptions'!$M$5,"High",IF(Y40&lt;='Rules and Assumptions'!$M$6,"Medium","Low"))</x:f>
        <x:v>Medium</x:v>
      </x:c>
      <x:c r="AA40" s="43" t="str">
        <x:f>LOWER(TRIM(B40))</x:f>
        <x:v>ghgrp-1002437</x:v>
      </x:c>
      <x:c r="AB40" s="43" t="str">
        <x:f>IF(COUNTIF($AA$5:$AA$164,AA40)&gt;1,"Review","Unique")</x:f>
        <x:v>Unique</x:v>
      </x:c>
      <x:c r="AC40" s="47" t="str">
        <x:v>General commercial or institutional facility; validate site portfolio and purchasing authority.</x:v>
      </x:c>
      <x:c r="AD40" s="46" t="n">
        <x:v>45520</x:v>
      </x:c>
    </x:row>
    <x:row r="41">
      <x:c r="A41" s="41" t="str">
        <x:v>NE-037</x:v>
      </x:c>
      <x:c r="B41" s="41" t="str">
        <x:v>GHGRP-1002274</x:v>
      </x:c>
      <x:c r="C41" s="47" t="str">
        <x:v>Boston University - Boston, MA</x:v>
      </x:c>
      <x:c r="D41" s="47" t="str">
        <x:v>TRUSTEES OF BOSTON UNIVERSITY</x:v>
      </x:c>
      <x:c r="E41" s="47" t="str">
        <x:v>Other</x:v>
      </x:c>
      <x:c r="F41" s="41" t="str">
        <x:v>611310</x:v>
      </x:c>
      <x:c r="G41" s="41" t="str">
        <x:v>Boston</x:v>
      </x:c>
      <x:c r="H41" s="41" t="str">
        <x:v>MA</x:v>
      </x:c>
      <x:c r="I41" s="41" t="str">
        <x:v>02134</x:v>
      </x:c>
      <x:c r="J41" s="42" t="n">
        <x:v>49083.294</x:v>
      </x:c>
      <x:c r="K41" s="43" t="str">
        <x:f>VLOOKUP(J41,'Rules and Assumptions'!$H$5:$J$9,3,TRUE)</x:f>
        <x:v>Small Reporting Load</x:v>
      </x:c>
      <x:c r="L41" s="47" t="str">
        <x:v>Director of Facilities</x:v>
      </x:c>
      <x:c r="M41" s="47" t="str">
        <x:v>Energy and Sustainability Manager</x:v>
      </x:c>
      <x:c r="N41" s="47" t="str">
        <x:v>Role identified; person not yet verified</x:v>
      </x:c>
      <x:c r="O41" s="47" t="str">
        <x:v>Facilities and Institutions</x:v>
      </x:c>
      <x:c r="P41" s="47" t="str">
        <x:v>Sales Rep A - Massachusetts</x:v>
      </x:c>
      <x:c r="Q41" s="47" t="str">
        <x:v>https://www.epa.gov/ghgreporting/data-sets</x:v>
      </x:c>
      <x:c r="R41" s="44" t="n">
        <x:v>1002274</x:v>
      </x:c>
      <x:c r="S41" s="45" t="n">
        <x:f>VLOOKUP(H41,'Rules and Assumptions'!$A$5:$B$10,2,FALSE)</x:f>
        <x:v>20</x:v>
      </x:c>
      <x:c r="T41" s="45" t="n">
        <x:f>VLOOKUP(E41,'Rules and Assumptions'!$D$5:$F$15,2,FALSE)</x:f>
        <x:v>22</x:v>
      </x:c>
      <x:c r="U41" s="45" t="n">
        <x:f>VLOOKUP(J41,'Rules and Assumptions'!$H$5:$J$9,2,TRUE)</x:f>
        <x:v>10</x:v>
      </x:c>
      <x:c r="V41" s="45" t="n">
        <x:f>IF(D41&lt;&gt;"",4,0)+IF(F41&lt;&gt;"",2,0)+IF(G41&lt;&gt;"",1,0)+IF(L41&lt;&gt;"",2,0)+IF(R41&lt;&gt;"",1,0)</x:f>
        <x:v>10</x:v>
      </x:c>
      <x:c r="W41" s="45" t="n">
        <x:f>VLOOKUP(E41,'Rules and Assumptions'!$D$5:$F$15,3,FALSE)</x:f>
        <x:v>10</x:v>
      </x:c>
      <x:c r="X41" s="45" t="n">
        <x:f>SUM(S41:W41)</x:f>
        <x:v>72</x:v>
      </x:c>
      <x:c r="Y41" s="45" t="n">
        <x:f>RANK.EQ(X41,$X$5:$X$164,0)+COUNTIF($X$5:X41,X41)-1</x:f>
        <x:v>37</x:v>
      </x:c>
      <x:c r="Z41" s="43" t="str">
        <x:f>IF(Y41&lt;='Rules and Assumptions'!$M$5,"High",IF(Y41&lt;='Rules and Assumptions'!$M$6,"Medium","Low"))</x:f>
        <x:v>Medium</x:v>
      </x:c>
      <x:c r="AA41" s="43" t="str">
        <x:f>LOWER(TRIM(B41))</x:f>
        <x:v>ghgrp-1002274</x:v>
      </x:c>
      <x:c r="AB41" s="43" t="str">
        <x:f>IF(COUNTIF($AA$5:$AA$164,AA41)&gt;1,"Review","Unique")</x:f>
        <x:v>Unique</x:v>
      </x:c>
      <x:c r="AC41" s="47" t="str">
        <x:v>General commercial or institutional facility; validate site portfolio and purchasing authority.</x:v>
      </x:c>
      <x:c r="AD41" s="46" t="n">
        <x:v>45520</x:v>
      </x:c>
    </x:row>
    <x:row r="42">
      <x:c r="A42" s="41" t="str">
        <x:v>NE-038</x:v>
      </x:c>
      <x:c r="B42" s="41" t="str">
        <x:v>GHGRP-1002497</x:v>
      </x:c>
      <x:c r="C42" s="47" t="str">
        <x:v>GILLETTE CO - Boston, MA</x:v>
      </x:c>
      <x:c r="D42" s="47" t="str">
        <x:v>THE PROCTER &amp; GAMBLE CO</x:v>
      </x:c>
      <x:c r="E42" s="47" t="str">
        <x:v>Other</x:v>
      </x:c>
      <x:c r="F42" s="41" t="str">
        <x:v>332215</x:v>
      </x:c>
      <x:c r="G42" s="41" t="str">
        <x:v>Boston</x:v>
      </x:c>
      <x:c r="H42" s="41" t="str">
        <x:v>MA</x:v>
      </x:c>
      <x:c r="I42" s="41" t="str">
        <x:v>02127</x:v>
      </x:c>
      <x:c r="J42" s="42" t="n">
        <x:v>44354.832</x:v>
      </x:c>
      <x:c r="K42" s="43" t="str">
        <x:f>VLOOKUP(J42,'Rules and Assumptions'!$H$5:$J$9,3,TRUE)</x:f>
        <x:v>Small Reporting Load</x:v>
      </x:c>
      <x:c r="L42" s="47" t="str">
        <x:v>Director of Facilities</x:v>
      </x:c>
      <x:c r="M42" s="47" t="str">
        <x:v>Energy and Sustainability Manager</x:v>
      </x:c>
      <x:c r="N42" s="47" t="str">
        <x:v>Role identified; person not yet verified</x:v>
      </x:c>
      <x:c r="O42" s="47" t="str">
        <x:v>Facilities and Institutions</x:v>
      </x:c>
      <x:c r="P42" s="47" t="str">
        <x:v>Sales Rep A - Massachusetts</x:v>
      </x:c>
      <x:c r="Q42" s="47" t="str">
        <x:v>https://www.epa.gov/ghgreporting/data-sets</x:v>
      </x:c>
      <x:c r="R42" s="44" t="n">
        <x:v>1002497</x:v>
      </x:c>
      <x:c r="S42" s="45" t="n">
        <x:f>VLOOKUP(H42,'Rules and Assumptions'!$A$5:$B$10,2,FALSE)</x:f>
        <x:v>20</x:v>
      </x:c>
      <x:c r="T42" s="45" t="n">
        <x:f>VLOOKUP(E42,'Rules and Assumptions'!$D$5:$F$15,2,FALSE)</x:f>
        <x:v>22</x:v>
      </x:c>
      <x:c r="U42" s="45" t="n">
        <x:f>VLOOKUP(J42,'Rules and Assumptions'!$H$5:$J$9,2,TRUE)</x:f>
        <x:v>10</x:v>
      </x:c>
      <x:c r="V42" s="45" t="n">
        <x:f>IF(D42&lt;&gt;"",4,0)+IF(F42&lt;&gt;"",2,0)+IF(G42&lt;&gt;"",1,0)+IF(L42&lt;&gt;"",2,0)+IF(R42&lt;&gt;"",1,0)</x:f>
        <x:v>10</x:v>
      </x:c>
      <x:c r="W42" s="45" t="n">
        <x:f>VLOOKUP(E42,'Rules and Assumptions'!$D$5:$F$15,3,FALSE)</x:f>
        <x:v>10</x:v>
      </x:c>
      <x:c r="X42" s="45" t="n">
        <x:f>SUM(S42:W42)</x:f>
        <x:v>72</x:v>
      </x:c>
      <x:c r="Y42" s="45" t="n">
        <x:f>RANK.EQ(X42,$X$5:$X$164,0)+COUNTIF($X$5:X42,X42)-1</x:f>
        <x:v>38</x:v>
      </x:c>
      <x:c r="Z42" s="43" t="str">
        <x:f>IF(Y42&lt;='Rules and Assumptions'!$M$5,"High",IF(Y42&lt;='Rules and Assumptions'!$M$6,"Medium","Low"))</x:f>
        <x:v>Medium</x:v>
      </x:c>
      <x:c r="AA42" s="43" t="str">
        <x:f>LOWER(TRIM(B42))</x:f>
        <x:v>ghgrp-1002497</x:v>
      </x:c>
      <x:c r="AB42" s="43" t="str">
        <x:f>IF(COUNTIF($AA$5:$AA$164,AA42)&gt;1,"Review","Unique")</x:f>
        <x:v>Unique</x:v>
      </x:c>
      <x:c r="AC42" s="47" t="str">
        <x:v>General commercial or institutional facility; validate site portfolio and purchasing authority.</x:v>
      </x:c>
      <x:c r="AD42" s="46" t="n">
        <x:v>45520</x:v>
      </x:c>
    </x:row>
    <x:row r="43">
      <x:c r="A43" s="41" t="str">
        <x:v>NE-039</x:v>
      </x:c>
      <x:c r="B43" s="41" t="str">
        <x:v>GHGRP-1000593</x:v>
      </x:c>
      <x:c r="C43" s="47" t="str">
        <x:v>JGT2 Mill - Jay, ME</x:v>
      </x:c>
      <x:c r="D43" s="47" t="str">
        <x:v>PIXELLE SPECIALTY SOLUTIONS LLC</x:v>
      </x:c>
      <x:c r="E43" s="47" t="str">
        <x:v>Pulp and Paper,Waste</x:v>
      </x:c>
      <x:c r="F43" s="41" t="str">
        <x:v>322120</x:v>
      </x:c>
      <x:c r="G43" s="41" t="str">
        <x:v>Jay</x:v>
      </x:c>
      <x:c r="H43" s="41" t="str">
        <x:v>ME</x:v>
      </x:c>
      <x:c r="I43" s="41" t="str">
        <x:v>04239</x:v>
      </x:c>
      <x:c r="J43" s="42" t="n">
        <x:v>43345.456</x:v>
      </x:c>
      <x:c r="K43" s="43" t="str">
        <x:f>VLOOKUP(J43,'Rules and Assumptions'!$H$5:$J$9,3,TRUE)</x:f>
        <x:v>Small Reporting Load</x:v>
      </x:c>
      <x:c r="L43" s="47" t="str">
        <x:v>Energy Manager</x:v>
      </x:c>
      <x:c r="M43" s="47" t="str">
        <x:v>Director of Procurement</x:v>
      </x:c>
      <x:c r="N43" s="47" t="str">
        <x:v>Role identified; person not yet verified</x:v>
      </x:c>
      <x:c r="O43" s="47" t="str">
        <x:v>Industrial High-Load</x:v>
      </x:c>
      <x:c r="P43" s="47" t="str">
        <x:v>Sales Rep C - Northern New England</x:v>
      </x:c>
      <x:c r="Q43" s="47" t="str">
        <x:v>https://www.epa.gov/ghgreporting/data-sets</x:v>
      </x:c>
      <x:c r="R43" s="44" t="n">
        <x:v>1000593</x:v>
      </x:c>
      <x:c r="S43" s="45" t="n">
        <x:f>VLOOKUP(H43,'Rules and Assumptions'!$A$5:$B$10,2,FALSE)</x:f>
        <x:v>12</x:v>
      </x:c>
      <x:c r="T43" s="45" t="n">
        <x:f>VLOOKUP(E43,'Rules and Assumptions'!$D$5:$F$15,2,FALSE)</x:f>
        <x:v>30</x:v>
      </x:c>
      <x:c r="U43" s="45" t="n">
        <x:f>VLOOKUP(J43,'Rules and Assumptions'!$H$5:$J$9,2,TRUE)</x:f>
        <x:v>10</x:v>
      </x:c>
      <x:c r="V43" s="45" t="n">
        <x:f>IF(D43&lt;&gt;"",4,0)+IF(F43&lt;&gt;"",2,0)+IF(G43&lt;&gt;"",1,0)+IF(L43&lt;&gt;"",2,0)+IF(R43&lt;&gt;"",1,0)</x:f>
        <x:v>10</x:v>
      </x:c>
      <x:c r="W43" s="45" t="n">
        <x:f>VLOOKUP(E43,'Rules and Assumptions'!$D$5:$F$15,3,FALSE)</x:f>
        <x:v>10</x:v>
      </x:c>
      <x:c r="X43" s="45" t="n">
        <x:f>SUM(S43:W43)</x:f>
        <x:v>72</x:v>
      </x:c>
      <x:c r="Y43" s="45" t="n">
        <x:f>RANK.EQ(X43,$X$5:$X$164,0)+COUNTIF($X$5:X43,X43)-1</x:f>
        <x:v>39</x:v>
      </x:c>
      <x:c r="Z43" s="43" t="str">
        <x:f>IF(Y43&lt;='Rules and Assumptions'!$M$5,"High",IF(Y43&lt;='Rules and Assumptions'!$M$6,"Medium","Low"))</x:f>
        <x:v>Medium</x:v>
      </x:c>
      <x:c r="AA43" s="43" t="str">
        <x:f>LOWER(TRIM(B43))</x:f>
        <x:v>ghgrp-1000593</x:v>
      </x:c>
      <x:c r="AB43" s="43" t="str">
        <x:f>IF(COUNTIF($AA$5:$AA$164,AA43)&gt;1,"Review","Unique")</x:f>
        <x:v>Unique</x:v>
      </x:c>
      <x:c r="AC43" s="47" t="str">
        <x:v>High-load manufacturing and waste operation; prioritize energy and procurement stakeholders.</x:v>
      </x:c>
      <x:c r="AD43" s="46" t="n">
        <x:v>45520</x:v>
      </x:c>
    </x:row>
    <x:row r="44">
      <x:c r="A44" s="41" t="str">
        <x:v>NE-040</x:v>
      </x:c>
      <x:c r="B44" s="41" t="str">
        <x:v>GHGRP-1003759</x:v>
      </x:c>
      <x:c r="C44" s="47" t="str">
        <x:v>Analog Devices, Inc./ Wilmington Manufacturing - Wilmington, MA</x:v>
      </x:c>
      <x:c r="D44" s="47" t="str">
        <x:v>ANALOG DEVICES INC</x:v>
      </x:c>
      <x:c r="E44" s="47" t="str">
        <x:v>Other</x:v>
      </x:c>
      <x:c r="F44" s="41" t="str">
        <x:v>334413</x:v>
      </x:c>
      <x:c r="G44" s="41" t="str">
        <x:v>Wilmington</x:v>
      </x:c>
      <x:c r="H44" s="41" t="str">
        <x:v>MA</x:v>
      </x:c>
      <x:c r="I44" s="41" t="str">
        <x:v>01887</x:v>
      </x:c>
      <x:c r="J44" s="42" t="n">
        <x:v>38727.189394</x:v>
      </x:c>
      <x:c r="K44" s="43" t="str">
        <x:f>VLOOKUP(J44,'Rules and Assumptions'!$H$5:$J$9,3,TRUE)</x:f>
        <x:v>Small Reporting Load</x:v>
      </x:c>
      <x:c r="L44" s="47" t="str">
        <x:v>Director of Facilities</x:v>
      </x:c>
      <x:c r="M44" s="47" t="str">
        <x:v>Energy and Sustainability Manager</x:v>
      </x:c>
      <x:c r="N44" s="47" t="str">
        <x:v>Role identified; person not yet verified</x:v>
      </x:c>
      <x:c r="O44" s="47" t="str">
        <x:v>Facilities and Institutions</x:v>
      </x:c>
      <x:c r="P44" s="47" t="str">
        <x:v>Sales Rep A - Massachusetts</x:v>
      </x:c>
      <x:c r="Q44" s="47" t="str">
        <x:v>https://www.epa.gov/ghgreporting/data-sets</x:v>
      </x:c>
      <x:c r="R44" s="44" t="n">
        <x:v>1003759</x:v>
      </x:c>
      <x:c r="S44" s="45" t="n">
        <x:f>VLOOKUP(H44,'Rules and Assumptions'!$A$5:$B$10,2,FALSE)</x:f>
        <x:v>20</x:v>
      </x:c>
      <x:c r="T44" s="45" t="n">
        <x:f>VLOOKUP(E44,'Rules and Assumptions'!$D$5:$F$15,2,FALSE)</x:f>
        <x:v>22</x:v>
      </x:c>
      <x:c r="U44" s="45" t="n">
        <x:f>VLOOKUP(J44,'Rules and Assumptions'!$H$5:$J$9,2,TRUE)</x:f>
        <x:v>10</x:v>
      </x:c>
      <x:c r="V44" s="45" t="n">
        <x:f>IF(D44&lt;&gt;"",4,0)+IF(F44&lt;&gt;"",2,0)+IF(G44&lt;&gt;"",1,0)+IF(L44&lt;&gt;"",2,0)+IF(R44&lt;&gt;"",1,0)</x:f>
        <x:v>10</x:v>
      </x:c>
      <x:c r="W44" s="45" t="n">
        <x:f>VLOOKUP(E44,'Rules and Assumptions'!$D$5:$F$15,3,FALSE)</x:f>
        <x:v>10</x:v>
      </x:c>
      <x:c r="X44" s="45" t="n">
        <x:f>SUM(S44:W44)</x:f>
        <x:v>72</x:v>
      </x:c>
      <x:c r="Y44" s="45" t="n">
        <x:f>RANK.EQ(X44,$X$5:$X$164,0)+COUNTIF($X$5:X44,X44)-1</x:f>
        <x:v>40</x:v>
      </x:c>
      <x:c r="Z44" s="43" t="str">
        <x:f>IF(Y44&lt;='Rules and Assumptions'!$M$5,"High",IF(Y44&lt;='Rules and Assumptions'!$M$6,"Medium","Low"))</x:f>
        <x:v>Medium</x:v>
      </x:c>
      <x:c r="AA44" s="43" t="str">
        <x:f>LOWER(TRIM(B44))</x:f>
        <x:v>ghgrp-1003759</x:v>
      </x:c>
      <x:c r="AB44" s="43" t="str">
        <x:f>IF(COUNTIF($AA$5:$AA$164,AA44)&gt;1,"Review","Unique")</x:f>
        <x:v>Unique</x:v>
      </x:c>
      <x:c r="AC44" s="47" t="str">
        <x:v>General commercial or institutional facility; validate site portfolio and purchasing authority.</x:v>
      </x:c>
      <x:c r="AD44" s="46" t="n">
        <x:v>45520</x:v>
      </x:c>
    </x:row>
    <x:row r="45">
      <x:c r="A45" s="41" t="str">
        <x:v>NE-041</x:v>
      </x:c>
      <x:c r="B45" s="41" t="str">
        <x:v>GHGRP-1002717</x:v>
      </x:c>
      <x:c r="C45" s="47" t="str">
        <x:v>Gold Bond - POR Plant - Portsmouth, NH</x:v>
      </x:c>
      <x:c r="D45" s="47" t="str">
        <x:v>SPANGLER COMPANIES INC</x:v>
      </x:c>
      <x:c r="E45" s="47" t="str">
        <x:v>Minerals</x:v>
      </x:c>
      <x:c r="F45" s="41" t="str">
        <x:v>327420</x:v>
      </x:c>
      <x:c r="G45" s="41" t="str">
        <x:v>Portsmouth</x:v>
      </x:c>
      <x:c r="H45" s="41" t="str">
        <x:v>NH</x:v>
      </x:c>
      <x:c r="I45" s="41" t="str">
        <x:v>03801</x:v>
      </x:c>
      <x:c r="J45" s="42" t="n">
        <x:v>34826.068</x:v>
      </x:c>
      <x:c r="K45" s="43" t="str">
        <x:f>VLOOKUP(J45,'Rules and Assumptions'!$H$5:$J$9,3,TRUE)</x:f>
        <x:v>Small Reporting Load</x:v>
      </x:c>
      <x:c r="L45" s="47" t="str">
        <x:v>Plant Manager</x:v>
      </x:c>
      <x:c r="M45" s="47" t="str">
        <x:v>Director of Strategic Sourcing</x:v>
      </x:c>
      <x:c r="N45" s="47" t="str">
        <x:v>Role identified; person not yet verified</x:v>
      </x:c>
      <x:c r="O45" s="47" t="str">
        <x:v>Industrial High-Load</x:v>
      </x:c>
      <x:c r="P45" s="47" t="str">
        <x:v>Sales Rep C - Northern New England</x:v>
      </x:c>
      <x:c r="Q45" s="47" t="str">
        <x:v>https://www.epa.gov/ghgreporting/data-sets</x:v>
      </x:c>
      <x:c r="R45" s="44" t="n">
        <x:v>1002717</x:v>
      </x:c>
      <x:c r="S45" s="45" t="n">
        <x:f>VLOOKUP(H45,'Rules and Assumptions'!$A$5:$B$10,2,FALSE)</x:f>
        <x:v>16</x:v>
      </x:c>
      <x:c r="T45" s="45" t="n">
        <x:f>VLOOKUP(E45,'Rules and Assumptions'!$D$5:$F$15,2,FALSE)</x:f>
        <x:v>26</x:v>
      </x:c>
      <x:c r="U45" s="45" t="n">
        <x:f>VLOOKUP(J45,'Rules and Assumptions'!$H$5:$J$9,2,TRUE)</x:f>
        <x:v>10</x:v>
      </x:c>
      <x:c r="V45" s="45" t="n">
        <x:f>IF(D45&lt;&gt;"",4,0)+IF(F45&lt;&gt;"",2,0)+IF(G45&lt;&gt;"",1,0)+IF(L45&lt;&gt;"",2,0)+IF(R45&lt;&gt;"",1,0)</x:f>
        <x:v>10</x:v>
      </x:c>
      <x:c r="W45" s="45" t="n">
        <x:f>VLOOKUP(E45,'Rules and Assumptions'!$D$5:$F$15,3,FALSE)</x:f>
        <x:v>10</x:v>
      </x:c>
      <x:c r="X45" s="45" t="n">
        <x:f>SUM(S45:W45)</x:f>
        <x:v>72</x:v>
      </x:c>
      <x:c r="Y45" s="45" t="n">
        <x:f>RANK.EQ(X45,$X$5:$X$164,0)+COUNTIF($X$5:X45,X45)-1</x:f>
        <x:v>41</x:v>
      </x:c>
      <x:c r="Z45" s="43" t="str">
        <x:f>IF(Y45&lt;='Rules and Assumptions'!$M$5,"High",IF(Y45&lt;='Rules and Assumptions'!$M$6,"Medium","Low"))</x:f>
        <x:v>Medium</x:v>
      </x:c>
      <x:c r="AA45" s="43" t="str">
        <x:f>LOWER(TRIM(B45))</x:f>
        <x:v>ghgrp-1002717</x:v>
      </x:c>
      <x:c r="AB45" s="43" t="str">
        <x:f>IF(COUNTIF($AA$5:$AA$164,AA45)&gt;1,"Review","Unique")</x:f>
        <x:v>Unique</x:v>
      </x:c>
      <x:c r="AC45" s="47" t="str">
        <x:v>Industrial process-load prospect with potential power and natural-gas purchasing needs.</x:v>
      </x:c>
      <x:c r="AD45" s="46" t="n">
        <x:v>45520</x:v>
      </x:c>
    </x:row>
    <x:row r="46">
      <x:c r="A46" s="41" t="str">
        <x:v>NE-042</x:v>
      </x:c>
      <x:c r="B46" s="41" t="str">
        <x:v>GHGRP-1006872</x:v>
      </x:c>
      <x:c r="C46" s="47" t="str">
        <x:v>U S AIR FORCE HANSCOM AFB - Hanscom Afb, MA</x:v>
      </x:c>
      <x:c r="D46" s="47" t="str">
        <x:v>US GOVERNMENT</x:v>
      </x:c>
      <x:c r="E46" s="47" t="str">
        <x:v>Other</x:v>
      </x:c>
      <x:c r="F46" s="41" t="str">
        <x:v>928110</x:v>
      </x:c>
      <x:c r="G46" s="41" t="str">
        <x:v>Hanscom Afb</x:v>
      </x:c>
      <x:c r="H46" s="41" t="str">
        <x:v>MA</x:v>
      </x:c>
      <x:c r="I46" s="41" t="str">
        <x:v>01731</x:v>
      </x:c>
      <x:c r="J46" s="42" t="n">
        <x:v>34054.114</x:v>
      </x:c>
      <x:c r="K46" s="43" t="str">
        <x:f>VLOOKUP(J46,'Rules and Assumptions'!$H$5:$J$9,3,TRUE)</x:f>
        <x:v>Small Reporting Load</x:v>
      </x:c>
      <x:c r="L46" s="47" t="str">
        <x:v>Director of Facilities</x:v>
      </x:c>
      <x:c r="M46" s="47" t="str">
        <x:v>Energy and Sustainability Manager</x:v>
      </x:c>
      <x:c r="N46" s="47" t="str">
        <x:v>Role identified; person not yet verified</x:v>
      </x:c>
      <x:c r="O46" s="47" t="str">
        <x:v>Facilities and Institutions</x:v>
      </x:c>
      <x:c r="P46" s="47" t="str">
        <x:v>Sales Rep A - Massachusetts</x:v>
      </x:c>
      <x:c r="Q46" s="47" t="str">
        <x:v>https://www.epa.gov/ghgreporting/data-sets</x:v>
      </x:c>
      <x:c r="R46" s="44" t="n">
        <x:v>1006872</x:v>
      </x:c>
      <x:c r="S46" s="45" t="n">
        <x:f>VLOOKUP(H46,'Rules and Assumptions'!$A$5:$B$10,2,FALSE)</x:f>
        <x:v>20</x:v>
      </x:c>
      <x:c r="T46" s="45" t="n">
        <x:f>VLOOKUP(E46,'Rules and Assumptions'!$D$5:$F$15,2,FALSE)</x:f>
        <x:v>22</x:v>
      </x:c>
      <x:c r="U46" s="45" t="n">
        <x:f>VLOOKUP(J46,'Rules and Assumptions'!$H$5:$J$9,2,TRUE)</x:f>
        <x:v>10</x:v>
      </x:c>
      <x:c r="V46" s="45" t="n">
        <x:f>IF(D46&lt;&gt;"",4,0)+IF(F46&lt;&gt;"",2,0)+IF(G46&lt;&gt;"",1,0)+IF(L46&lt;&gt;"",2,0)+IF(R46&lt;&gt;"",1,0)</x:f>
        <x:v>10</x:v>
      </x:c>
      <x:c r="W46" s="45" t="n">
        <x:f>VLOOKUP(E46,'Rules and Assumptions'!$D$5:$F$15,3,FALSE)</x:f>
        <x:v>10</x:v>
      </x:c>
      <x:c r="X46" s="45" t="n">
        <x:f>SUM(S46:W46)</x:f>
        <x:v>72</x:v>
      </x:c>
      <x:c r="Y46" s="45" t="n">
        <x:f>RANK.EQ(X46,$X$5:$X$164,0)+COUNTIF($X$5:X46,X46)-1</x:f>
        <x:v>42</x:v>
      </x:c>
      <x:c r="Z46" s="43" t="str">
        <x:f>IF(Y46&lt;='Rules and Assumptions'!$M$5,"High",IF(Y46&lt;='Rules and Assumptions'!$M$6,"Medium","Low"))</x:f>
        <x:v>Medium</x:v>
      </x:c>
      <x:c r="AA46" s="43" t="str">
        <x:f>LOWER(TRIM(B46))</x:f>
        <x:v>ghgrp-1006872</x:v>
      </x:c>
      <x:c r="AB46" s="43" t="str">
        <x:f>IF(COUNTIF($AA$5:$AA$164,AA46)&gt;1,"Review","Unique")</x:f>
        <x:v>Unique</x:v>
      </x:c>
      <x:c r="AC46" s="47" t="str">
        <x:v>General commercial or institutional facility; validate site portfolio and purchasing authority.</x:v>
      </x:c>
      <x:c r="AD46" s="46" t="n">
        <x:v>45520</x:v>
      </x:c>
    </x:row>
    <x:row r="47">
      <x:c r="A47" s="41" t="str">
        <x:v>NE-043</x:v>
      </x:c>
      <x:c r="B47" s="41" t="str">
        <x:v>GHGRP-1006423</x:v>
      </x:c>
      <x:c r="C47" s="47" t="str">
        <x:v>WestRock Converting LLC - Missisquoi Mill - Sheldon Springs, VT</x:v>
      </x:c>
      <x:c r="D47" s="47" t="str">
        <x:v>WESTROCK CO</x:v>
      </x:c>
      <x:c r="E47" s="47" t="str">
        <x:v>Pulp and Paper</x:v>
      </x:c>
      <x:c r="F47" s="41" t="str">
        <x:v>322130</x:v>
      </x:c>
      <x:c r="G47" s="41" t="str">
        <x:v>Sheldon Springs</x:v>
      </x:c>
      <x:c r="H47" s="41" t="str">
        <x:v>VT</x:v>
      </x:c>
      <x:c r="I47" s="41" t="str">
        <x:v>05485</x:v>
      </x:c>
      <x:c r="J47" s="42" t="n">
        <x:v>31830.426</x:v>
      </x:c>
      <x:c r="K47" s="43" t="str">
        <x:f>VLOOKUP(J47,'Rules and Assumptions'!$H$5:$J$9,3,TRUE)</x:f>
        <x:v>Small Reporting Load</x:v>
      </x:c>
      <x:c r="L47" s="47" t="str">
        <x:v>Energy Manager</x:v>
      </x:c>
      <x:c r="M47" s="47" t="str">
        <x:v>Director of Procurement</x:v>
      </x:c>
      <x:c r="N47" s="47" t="str">
        <x:v>Role identified; person not yet verified</x:v>
      </x:c>
      <x:c r="O47" s="47" t="str">
        <x:v>Industrial High-Load</x:v>
      </x:c>
      <x:c r="P47" s="47" t="str">
        <x:v>Sales Rep C - Northern New England</x:v>
      </x:c>
      <x:c r="Q47" s="47" t="str">
        <x:v>https://www.epa.gov/ghgreporting/data-sets</x:v>
      </x:c>
      <x:c r="R47" s="44" t="n">
        <x:v>1006423</x:v>
      </x:c>
      <x:c r="S47" s="45" t="n">
        <x:f>VLOOKUP(H47,'Rules and Assumptions'!$A$5:$B$10,2,FALSE)</x:f>
        <x:v>12</x:v>
      </x:c>
      <x:c r="T47" s="45" t="n">
        <x:f>VLOOKUP(E47,'Rules and Assumptions'!$D$5:$F$15,2,FALSE)</x:f>
        <x:v>30</x:v>
      </x:c>
      <x:c r="U47" s="45" t="n">
        <x:f>VLOOKUP(J47,'Rules and Assumptions'!$H$5:$J$9,2,TRUE)</x:f>
        <x:v>10</x:v>
      </x:c>
      <x:c r="V47" s="45" t="n">
        <x:f>IF(D47&lt;&gt;"",4,0)+IF(F47&lt;&gt;"",2,0)+IF(G47&lt;&gt;"",1,0)+IF(L47&lt;&gt;"",2,0)+IF(R47&lt;&gt;"",1,0)</x:f>
        <x:v>10</x:v>
      </x:c>
      <x:c r="W47" s="45" t="n">
        <x:f>VLOOKUP(E47,'Rules and Assumptions'!$D$5:$F$15,3,FALSE)</x:f>
        <x:v>10</x:v>
      </x:c>
      <x:c r="X47" s="45" t="n">
        <x:f>SUM(S47:W47)</x:f>
        <x:v>72</x:v>
      </x:c>
      <x:c r="Y47" s="45" t="n">
        <x:f>RANK.EQ(X47,$X$5:$X$164,0)+COUNTIF($X$5:X47,X47)-1</x:f>
        <x:v>43</x:v>
      </x:c>
      <x:c r="Z47" s="43" t="str">
        <x:f>IF(Y47&lt;='Rules and Assumptions'!$M$5,"High",IF(Y47&lt;='Rules and Assumptions'!$M$6,"Medium","Low"))</x:f>
        <x:v>Medium</x:v>
      </x:c>
      <x:c r="AA47" s="43" t="str">
        <x:f>LOWER(TRIM(B47))</x:f>
        <x:v>ghgrp-1006423</x:v>
      </x:c>
      <x:c r="AB47" s="43" t="str">
        <x:f>IF(COUNTIF($AA$5:$AA$164,AA47)&gt;1,"Review","Unique")</x:f>
        <x:v>Unique</x:v>
      </x:c>
      <x:c r="AC47" s="47" t="str">
        <x:v>High-load manufacturing prospect with a clear energy-management and procurement use case.</x:v>
      </x:c>
      <x:c r="AD47" s="46" t="n">
        <x:v>45520</x:v>
      </x:c>
    </x:row>
    <x:row r="48">
      <x:c r="A48" s="41" t="str">
        <x:v>NE-044</x:v>
      </x:c>
      <x:c r="B48" s="41" t="str">
        <x:v>GHGRP-1005277</x:v>
      </x:c>
      <x:c r="C48" s="47" t="str">
        <x:v>NORTHEASTERN UNIVERSITY - Boston, MA</x:v>
      </x:c>
      <x:c r="D48" s="47" t="str">
        <x:v>NORTHEASTERN UNIVERSITY</x:v>
      </x:c>
      <x:c r="E48" s="47" t="str">
        <x:v>Other</x:v>
      </x:c>
      <x:c r="F48" s="41" t="str">
        <x:v>611310</x:v>
      </x:c>
      <x:c r="G48" s="41" t="str">
        <x:v>Boston</x:v>
      </x:c>
      <x:c r="H48" s="41" t="str">
        <x:v>MA</x:v>
      </x:c>
      <x:c r="I48" s="41" t="str">
        <x:v>02115</x:v>
      </x:c>
      <x:c r="J48" s="42" t="n">
        <x:v>27778.844</x:v>
      </x:c>
      <x:c r="K48" s="43" t="str">
        <x:f>VLOOKUP(J48,'Rules and Assumptions'!$H$5:$J$9,3,TRUE)</x:f>
        <x:v>Small Reporting Load</x:v>
      </x:c>
      <x:c r="L48" s="47" t="str">
        <x:v>Director of Facilities</x:v>
      </x:c>
      <x:c r="M48" s="47" t="str">
        <x:v>Energy and Sustainability Manager</x:v>
      </x:c>
      <x:c r="N48" s="47" t="str">
        <x:v>Role identified; person not yet verified</x:v>
      </x:c>
      <x:c r="O48" s="47" t="str">
        <x:v>Facilities and Institutions</x:v>
      </x:c>
      <x:c r="P48" s="47" t="str">
        <x:v>Sales Rep A - Massachusetts</x:v>
      </x:c>
      <x:c r="Q48" s="47" t="str">
        <x:v>https://www.epa.gov/ghgreporting/data-sets</x:v>
      </x:c>
      <x:c r="R48" s="44" t="n">
        <x:v>1005277</x:v>
      </x:c>
      <x:c r="S48" s="45" t="n">
        <x:f>VLOOKUP(H48,'Rules and Assumptions'!$A$5:$B$10,2,FALSE)</x:f>
        <x:v>20</x:v>
      </x:c>
      <x:c r="T48" s="45" t="n">
        <x:f>VLOOKUP(E48,'Rules and Assumptions'!$D$5:$F$15,2,FALSE)</x:f>
        <x:v>22</x:v>
      </x:c>
      <x:c r="U48" s="45" t="n">
        <x:f>VLOOKUP(J48,'Rules and Assumptions'!$H$5:$J$9,2,TRUE)</x:f>
        <x:v>10</x:v>
      </x:c>
      <x:c r="V48" s="45" t="n">
        <x:f>IF(D48&lt;&gt;"",4,0)+IF(F48&lt;&gt;"",2,0)+IF(G48&lt;&gt;"",1,0)+IF(L48&lt;&gt;"",2,0)+IF(R48&lt;&gt;"",1,0)</x:f>
        <x:v>10</x:v>
      </x:c>
      <x:c r="W48" s="45" t="n">
        <x:f>VLOOKUP(E48,'Rules and Assumptions'!$D$5:$F$15,3,FALSE)</x:f>
        <x:v>10</x:v>
      </x:c>
      <x:c r="X48" s="45" t="n">
        <x:f>SUM(S48:W48)</x:f>
        <x:v>72</x:v>
      </x:c>
      <x:c r="Y48" s="45" t="n">
        <x:f>RANK.EQ(X48,$X$5:$X$164,0)+COUNTIF($X$5:X48,X48)-1</x:f>
        <x:v>44</x:v>
      </x:c>
      <x:c r="Z48" s="43" t="str">
        <x:f>IF(Y48&lt;='Rules and Assumptions'!$M$5,"High",IF(Y48&lt;='Rules and Assumptions'!$M$6,"Medium","Low"))</x:f>
        <x:v>Medium</x:v>
      </x:c>
      <x:c r="AA48" s="43" t="str">
        <x:f>LOWER(TRIM(B48))</x:f>
        <x:v>ghgrp-1005277</x:v>
      </x:c>
      <x:c r="AB48" s="43" t="str">
        <x:f>IF(COUNTIF($AA$5:$AA$164,AA48)&gt;1,"Review","Unique")</x:f>
        <x:v>Unique</x:v>
      </x:c>
      <x:c r="AC48" s="47" t="str">
        <x:v>General commercial or institutional facility; validate site portfolio and purchasing authority.</x:v>
      </x:c>
      <x:c r="AD48" s="46" t="n">
        <x:v>45520</x:v>
      </x:c>
    </x:row>
    <x:row r="49">
      <x:c r="A49" s="41" t="str">
        <x:v>NE-045</x:v>
      </x:c>
      <x:c r="B49" s="41" t="str">
        <x:v>GHGRP-1001200</x:v>
      </x:c>
      <x:c r="C49" s="47" t="str">
        <x:v>General Electric Aviation - Lynn, MA</x:v>
      </x:c>
      <x:c r="D49" s="47" t="str">
        <x:v>GENERAL ELECTRIC CO</x:v>
      </x:c>
      <x:c r="E49" s="47" t="str">
        <x:v>Other</x:v>
      </x:c>
      <x:c r="F49" s="41" t="str">
        <x:v>336412</x:v>
      </x:c>
      <x:c r="G49" s="41" t="str">
        <x:v>Lynn</x:v>
      </x:c>
      <x:c r="H49" s="41" t="str">
        <x:v>MA</x:v>
      </x:c>
      <x:c r="I49" s="41" t="str">
        <x:v>01910</x:v>
      </x:c>
      <x:c r="J49" s="42" t="n">
        <x:v>27000.67</x:v>
      </x:c>
      <x:c r="K49" s="43" t="str">
        <x:f>VLOOKUP(J49,'Rules and Assumptions'!$H$5:$J$9,3,TRUE)</x:f>
        <x:v>Small Reporting Load</x:v>
      </x:c>
      <x:c r="L49" s="47" t="str">
        <x:v>Director of Facilities</x:v>
      </x:c>
      <x:c r="M49" s="47" t="str">
        <x:v>Energy and Sustainability Manager</x:v>
      </x:c>
      <x:c r="N49" s="47" t="str">
        <x:v>Role identified; person not yet verified</x:v>
      </x:c>
      <x:c r="O49" s="47" t="str">
        <x:v>Facilities and Institutions</x:v>
      </x:c>
      <x:c r="P49" s="47" t="str">
        <x:v>Sales Rep A - Massachusetts</x:v>
      </x:c>
      <x:c r="Q49" s="47" t="str">
        <x:v>https://www.epa.gov/ghgreporting/data-sets</x:v>
      </x:c>
      <x:c r="R49" s="44" t="n">
        <x:v>1001200</x:v>
      </x:c>
      <x:c r="S49" s="45" t="n">
        <x:f>VLOOKUP(H49,'Rules and Assumptions'!$A$5:$B$10,2,FALSE)</x:f>
        <x:v>20</x:v>
      </x:c>
      <x:c r="T49" s="45" t="n">
        <x:f>VLOOKUP(E49,'Rules and Assumptions'!$D$5:$F$15,2,FALSE)</x:f>
        <x:v>22</x:v>
      </x:c>
      <x:c r="U49" s="45" t="n">
        <x:f>VLOOKUP(J49,'Rules and Assumptions'!$H$5:$J$9,2,TRUE)</x:f>
        <x:v>10</x:v>
      </x:c>
      <x:c r="V49" s="45" t="n">
        <x:f>IF(D49&lt;&gt;"",4,0)+IF(F49&lt;&gt;"",2,0)+IF(G49&lt;&gt;"",1,0)+IF(L49&lt;&gt;"",2,0)+IF(R49&lt;&gt;"",1,0)</x:f>
        <x:v>10</x:v>
      </x:c>
      <x:c r="W49" s="45" t="n">
        <x:f>VLOOKUP(E49,'Rules and Assumptions'!$D$5:$F$15,3,FALSE)</x:f>
        <x:v>10</x:v>
      </x:c>
      <x:c r="X49" s="45" t="n">
        <x:f>SUM(S49:W49)</x:f>
        <x:v>72</x:v>
      </x:c>
      <x:c r="Y49" s="45" t="n">
        <x:f>RANK.EQ(X49,$X$5:$X$164,0)+COUNTIF($X$5:X49,X49)-1</x:f>
        <x:v>45</x:v>
      </x:c>
      <x:c r="Z49" s="43" t="str">
        <x:f>IF(Y49&lt;='Rules and Assumptions'!$M$5,"High",IF(Y49&lt;='Rules and Assumptions'!$M$6,"Medium","Low"))</x:f>
        <x:v>Medium</x:v>
      </x:c>
      <x:c r="AA49" s="43" t="str">
        <x:f>LOWER(TRIM(B49))</x:f>
        <x:v>ghgrp-1001200</x:v>
      </x:c>
      <x:c r="AB49" s="43" t="str">
        <x:f>IF(COUNTIF($AA$5:$AA$164,AA49)&gt;1,"Review","Unique")</x:f>
        <x:v>Unique</x:v>
      </x:c>
      <x:c r="AC49" s="47" t="str">
        <x:v>General commercial or institutional facility; validate site portfolio and purchasing authority.</x:v>
      </x:c>
      <x:c r="AD49" s="46" t="n">
        <x:v>45520</x:v>
      </x:c>
    </x:row>
    <x:row r="50">
      <x:c r="A50" s="41" t="str">
        <x:v>NE-046</x:v>
      </x:c>
      <x:c r="B50" s="41" t="str">
        <x:v>GHGRP-1009735</x:v>
      </x:c>
      <x:c r="C50" s="47" t="str">
        <x:v>Skyworks Solutions, Inc. - Woburn, MA</x:v>
      </x:c>
      <x:c r="D50" s="47" t="str">
        <x:v>SKYWORKS SOLUTIONS INC</x:v>
      </x:c>
      <x:c r="E50" s="47" t="str">
        <x:v>Other</x:v>
      </x:c>
      <x:c r="F50" s="41" t="str">
        <x:v>334413</x:v>
      </x:c>
      <x:c r="G50" s="41" t="str">
        <x:v>Woburn</x:v>
      </x:c>
      <x:c r="H50" s="41" t="str">
        <x:v>MA</x:v>
      </x:c>
      <x:c r="I50" s="41" t="str">
        <x:v>01801</x:v>
      </x:c>
      <x:c r="J50" s="42" t="n">
        <x:v>24116.71997</x:v>
      </x:c>
      <x:c r="K50" s="43" t="str">
        <x:f>VLOOKUP(J50,'Rules and Assumptions'!$H$5:$J$9,3,TRUE)</x:f>
        <x:v>Small Reporting Load</x:v>
      </x:c>
      <x:c r="L50" s="47" t="str">
        <x:v>Director of Facilities</x:v>
      </x:c>
      <x:c r="M50" s="47" t="str">
        <x:v>Energy and Sustainability Manager</x:v>
      </x:c>
      <x:c r="N50" s="47" t="str">
        <x:v>Role identified; person not yet verified</x:v>
      </x:c>
      <x:c r="O50" s="47" t="str">
        <x:v>Facilities and Institutions</x:v>
      </x:c>
      <x:c r="P50" s="47" t="str">
        <x:v>Sales Rep A - Massachusetts</x:v>
      </x:c>
      <x:c r="Q50" s="47" t="str">
        <x:v>https://www.epa.gov/ghgreporting/data-sets</x:v>
      </x:c>
      <x:c r="R50" s="44" t="n">
        <x:v>1009735</x:v>
      </x:c>
      <x:c r="S50" s="45" t="n">
        <x:f>VLOOKUP(H50,'Rules and Assumptions'!$A$5:$B$10,2,FALSE)</x:f>
        <x:v>20</x:v>
      </x:c>
      <x:c r="T50" s="45" t="n">
        <x:f>VLOOKUP(E50,'Rules and Assumptions'!$D$5:$F$15,2,FALSE)</x:f>
        <x:v>22</x:v>
      </x:c>
      <x:c r="U50" s="45" t="n">
        <x:f>VLOOKUP(J50,'Rules and Assumptions'!$H$5:$J$9,2,TRUE)</x:f>
        <x:v>10</x:v>
      </x:c>
      <x:c r="V50" s="45" t="n">
        <x:f>IF(D50&lt;&gt;"",4,0)+IF(F50&lt;&gt;"",2,0)+IF(G50&lt;&gt;"",1,0)+IF(L50&lt;&gt;"",2,0)+IF(R50&lt;&gt;"",1,0)</x:f>
        <x:v>10</x:v>
      </x:c>
      <x:c r="W50" s="45" t="n">
        <x:f>VLOOKUP(E50,'Rules and Assumptions'!$D$5:$F$15,3,FALSE)</x:f>
        <x:v>10</x:v>
      </x:c>
      <x:c r="X50" s="45" t="n">
        <x:f>SUM(S50:W50)</x:f>
        <x:v>72</x:v>
      </x:c>
      <x:c r="Y50" s="45" t="n">
        <x:f>RANK.EQ(X50,$X$5:$X$164,0)+COUNTIF($X$5:X50,X50)-1</x:f>
        <x:v>46</x:v>
      </x:c>
      <x:c r="Z50" s="43" t="str">
        <x:f>IF(Y50&lt;='Rules and Assumptions'!$M$5,"High",IF(Y50&lt;='Rules and Assumptions'!$M$6,"Medium","Low"))</x:f>
        <x:v>Medium</x:v>
      </x:c>
      <x:c r="AA50" s="43" t="str">
        <x:f>LOWER(TRIM(B50))</x:f>
        <x:v>ghgrp-1009735</x:v>
      </x:c>
      <x:c r="AB50" s="43" t="str">
        <x:f>IF(COUNTIF($AA$5:$AA$164,AA50)&gt;1,"Review","Unique")</x:f>
        <x:v>Unique</x:v>
      </x:c>
      <x:c r="AC50" s="47" t="str">
        <x:v>General commercial or institutional facility; validate site portfolio and purchasing authority.</x:v>
      </x:c>
      <x:c r="AD50" s="46" t="n">
        <x:v>45520</x:v>
      </x:c>
    </x:row>
    <x:row r="51">
      <x:c r="A51" s="41" t="str">
        <x:v>NE-047</x:v>
      </x:c>
      <x:c r="B51" s="41" t="str">
        <x:v>GHGRP-1011427</x:v>
      </x:c>
      <x:c r="C51" s="47" t="str">
        <x:v>Huhtamaki, Inc. - Waterville, ME</x:v>
      </x:c>
      <x:c r="D51" s="47" t="str">
        <x:v>HUHTAMAKI AMERICAS INC</x:v>
      </x:c>
      <x:c r="E51" s="47" t="str">
        <x:v>Pulp and Paper</x:v>
      </x:c>
      <x:c r="F51" s="41" t="str">
        <x:v>322299</x:v>
      </x:c>
      <x:c r="G51" s="41" t="str">
        <x:v>Waterville</x:v>
      </x:c>
      <x:c r="H51" s="41" t="str">
        <x:v>ME</x:v>
      </x:c>
      <x:c r="I51" s="41" t="str">
        <x:v>04093</x:v>
      </x:c>
      <x:c r="J51" s="42" t="n">
        <x:v>22467.162</x:v>
      </x:c>
      <x:c r="K51" s="43" t="str">
        <x:f>VLOOKUP(J51,'Rules and Assumptions'!$H$5:$J$9,3,TRUE)</x:f>
        <x:v>Small Reporting Load</x:v>
      </x:c>
      <x:c r="L51" s="47" t="str">
        <x:v>Energy Manager</x:v>
      </x:c>
      <x:c r="M51" s="47" t="str">
        <x:v>Director of Procurement</x:v>
      </x:c>
      <x:c r="N51" s="47" t="str">
        <x:v>Role identified; person not yet verified</x:v>
      </x:c>
      <x:c r="O51" s="47" t="str">
        <x:v>Industrial High-Load</x:v>
      </x:c>
      <x:c r="P51" s="47" t="str">
        <x:v>Sales Rep C - Northern New England</x:v>
      </x:c>
      <x:c r="Q51" s="47" t="str">
        <x:v>https://www.epa.gov/ghgreporting/data-sets</x:v>
      </x:c>
      <x:c r="R51" s="44" t="n">
        <x:v>1011427</x:v>
      </x:c>
      <x:c r="S51" s="45" t="n">
        <x:f>VLOOKUP(H51,'Rules and Assumptions'!$A$5:$B$10,2,FALSE)</x:f>
        <x:v>12</x:v>
      </x:c>
      <x:c r="T51" s="45" t="n">
        <x:f>VLOOKUP(E51,'Rules and Assumptions'!$D$5:$F$15,2,FALSE)</x:f>
        <x:v>30</x:v>
      </x:c>
      <x:c r="U51" s="45" t="n">
        <x:f>VLOOKUP(J51,'Rules and Assumptions'!$H$5:$J$9,2,TRUE)</x:f>
        <x:v>10</x:v>
      </x:c>
      <x:c r="V51" s="45" t="n">
        <x:f>IF(D51&lt;&gt;"",4,0)+IF(F51&lt;&gt;"",2,0)+IF(G51&lt;&gt;"",1,0)+IF(L51&lt;&gt;"",2,0)+IF(R51&lt;&gt;"",1,0)</x:f>
        <x:v>10</x:v>
      </x:c>
      <x:c r="W51" s="45" t="n">
        <x:f>VLOOKUP(E51,'Rules and Assumptions'!$D$5:$F$15,3,FALSE)</x:f>
        <x:v>10</x:v>
      </x:c>
      <x:c r="X51" s="45" t="n">
        <x:f>SUM(S51:W51)</x:f>
        <x:v>72</x:v>
      </x:c>
      <x:c r="Y51" s="45" t="n">
        <x:f>RANK.EQ(X51,$X$5:$X$164,0)+COUNTIF($X$5:X51,X51)-1</x:f>
        <x:v>47</x:v>
      </x:c>
      <x:c r="Z51" s="43" t="str">
        <x:f>IF(Y51&lt;='Rules and Assumptions'!$M$5,"High",IF(Y51&lt;='Rules and Assumptions'!$M$6,"Medium","Low"))</x:f>
        <x:v>Medium</x:v>
      </x:c>
      <x:c r="AA51" s="43" t="str">
        <x:f>LOWER(TRIM(B51))</x:f>
        <x:v>ghgrp-1011427</x:v>
      </x:c>
      <x:c r="AB51" s="43" t="str">
        <x:f>IF(COUNTIF($AA$5:$AA$164,AA51)&gt;1,"Review","Unique")</x:f>
        <x:v>Unique</x:v>
      </x:c>
      <x:c r="AC51" s="47" t="str">
        <x:v>High-load manufacturing prospect with a clear energy-management and procurement use case.</x:v>
      </x:c>
      <x:c r="AD51" s="46" t="n">
        <x:v>45520</x:v>
      </x:c>
    </x:row>
    <x:row r="52">
      <x:c r="A52" s="41" t="str">
        <x:v>NE-048</x:v>
      </x:c>
      <x:c r="B52" s="41" t="str">
        <x:v>GHGRP-1004817</x:v>
      </x:c>
      <x:c r="C52" s="47" t="str">
        <x:v>Wyman-Gordon Company - North Grafton, MA</x:v>
      </x:c>
      <x:c r="D52" s="47" t="str">
        <x:v>BERKSHIRE HATHAWAY INC</x:v>
      </x:c>
      <x:c r="E52" s="47" t="str">
        <x:v>Other</x:v>
      </x:c>
      <x:c r="F52" s="41" t="str">
        <x:v>332111</x:v>
      </x:c>
      <x:c r="G52" s="41" t="str">
        <x:v>North Grafton</x:v>
      </x:c>
      <x:c r="H52" s="41" t="str">
        <x:v>MA</x:v>
      </x:c>
      <x:c r="I52" s="41" t="str">
        <x:v>01536</x:v>
      </x:c>
      <x:c r="J52" s="42" t="n">
        <x:v>22167.616</x:v>
      </x:c>
      <x:c r="K52" s="43" t="str">
        <x:f>VLOOKUP(J52,'Rules and Assumptions'!$H$5:$J$9,3,TRUE)</x:f>
        <x:v>Small Reporting Load</x:v>
      </x:c>
      <x:c r="L52" s="47" t="str">
        <x:v>Director of Facilities</x:v>
      </x:c>
      <x:c r="M52" s="47" t="str">
        <x:v>Energy and Sustainability Manager</x:v>
      </x:c>
      <x:c r="N52" s="47" t="str">
        <x:v>Role identified; person not yet verified</x:v>
      </x:c>
      <x:c r="O52" s="47" t="str">
        <x:v>Facilities and Institutions</x:v>
      </x:c>
      <x:c r="P52" s="47" t="str">
        <x:v>Sales Rep A - Massachusetts</x:v>
      </x:c>
      <x:c r="Q52" s="47" t="str">
        <x:v>https://www.epa.gov/ghgreporting/data-sets</x:v>
      </x:c>
      <x:c r="R52" s="44" t="n">
        <x:v>1004817</x:v>
      </x:c>
      <x:c r="S52" s="45" t="n">
        <x:f>VLOOKUP(H52,'Rules and Assumptions'!$A$5:$B$10,2,FALSE)</x:f>
        <x:v>20</x:v>
      </x:c>
      <x:c r="T52" s="45" t="n">
        <x:f>VLOOKUP(E52,'Rules and Assumptions'!$D$5:$F$15,2,FALSE)</x:f>
        <x:v>22</x:v>
      </x:c>
      <x:c r="U52" s="45" t="n">
        <x:f>VLOOKUP(J52,'Rules and Assumptions'!$H$5:$J$9,2,TRUE)</x:f>
        <x:v>10</x:v>
      </x:c>
      <x:c r="V52" s="45" t="n">
        <x:f>IF(D52&lt;&gt;"",4,0)+IF(F52&lt;&gt;"",2,0)+IF(G52&lt;&gt;"",1,0)+IF(L52&lt;&gt;"",2,0)+IF(R52&lt;&gt;"",1,0)</x:f>
        <x:v>10</x:v>
      </x:c>
      <x:c r="W52" s="45" t="n">
        <x:f>VLOOKUP(E52,'Rules and Assumptions'!$D$5:$F$15,3,FALSE)</x:f>
        <x:v>10</x:v>
      </x:c>
      <x:c r="X52" s="45" t="n">
        <x:f>SUM(S52:W52)</x:f>
        <x:v>72</x:v>
      </x:c>
      <x:c r="Y52" s="45" t="n">
        <x:f>RANK.EQ(X52,$X$5:$X$164,0)+COUNTIF($X$5:X52,X52)-1</x:f>
        <x:v>48</x:v>
      </x:c>
      <x:c r="Z52" s="43" t="str">
        <x:f>IF(Y52&lt;='Rules and Assumptions'!$M$5,"High",IF(Y52&lt;='Rules and Assumptions'!$M$6,"Medium","Low"))</x:f>
        <x:v>Medium</x:v>
      </x:c>
      <x:c r="AA52" s="43" t="str">
        <x:f>LOWER(TRIM(B52))</x:f>
        <x:v>ghgrp-1004817</x:v>
      </x:c>
      <x:c r="AB52" s="43" t="str">
        <x:f>IF(COUNTIF($AA$5:$AA$164,AA52)&gt;1,"Review","Unique")</x:f>
        <x:v>Unique</x:v>
      </x:c>
      <x:c r="AC52" s="47" t="str">
        <x:v>General commercial or institutional facility; validate site portfolio and purchasing authority.</x:v>
      </x:c>
      <x:c r="AD52" s="46" t="n">
        <x:v>45520</x:v>
      </x:c>
    </x:row>
    <x:row r="53">
      <x:c r="A53" s="41" t="str">
        <x:v>NE-049</x:v>
      </x:c>
      <x:c r="B53" s="41" t="str">
        <x:v>GHGRP-1006452</x:v>
      </x:c>
      <x:c r="C53" s="47" t="str">
        <x:v>MASSPORT LOGAN AIRPORT - East Boston, MA</x:v>
      </x:c>
      <x:c r="D53" s="47" t="str">
        <x:v>MASSACHUSETTS PORT AUTHORITY</x:v>
      </x:c>
      <x:c r="E53" s="47" t="str">
        <x:v>Other</x:v>
      </x:c>
      <x:c r="F53" s="41" t="str">
        <x:v>488190</x:v>
      </x:c>
      <x:c r="G53" s="41" t="str">
        <x:v>East Boston</x:v>
      </x:c>
      <x:c r="H53" s="41" t="str">
        <x:v>MA</x:v>
      </x:c>
      <x:c r="I53" s="41" t="str">
        <x:v>02128</x:v>
      </x:c>
      <x:c r="J53" s="42" t="n">
        <x:v>19750.176</x:v>
      </x:c>
      <x:c r="K53" s="43" t="str">
        <x:f>VLOOKUP(J53,'Rules and Assumptions'!$H$5:$J$9,3,TRUE)</x:f>
        <x:v>Small Reporting Load</x:v>
      </x:c>
      <x:c r="L53" s="47" t="str">
        <x:v>Director of Facilities</x:v>
      </x:c>
      <x:c r="M53" s="47" t="str">
        <x:v>Energy and Sustainability Manager</x:v>
      </x:c>
      <x:c r="N53" s="47" t="str">
        <x:v>Role identified; person not yet verified</x:v>
      </x:c>
      <x:c r="O53" s="47" t="str">
        <x:v>Facilities and Institutions</x:v>
      </x:c>
      <x:c r="P53" s="47" t="str">
        <x:v>Sales Rep A - Massachusetts</x:v>
      </x:c>
      <x:c r="Q53" s="47" t="str">
        <x:v>https://www.epa.gov/ghgreporting/data-sets</x:v>
      </x:c>
      <x:c r="R53" s="44" t="n">
        <x:v>1006452</x:v>
      </x:c>
      <x:c r="S53" s="45" t="n">
        <x:f>VLOOKUP(H53,'Rules and Assumptions'!$A$5:$B$10,2,FALSE)</x:f>
        <x:v>20</x:v>
      </x:c>
      <x:c r="T53" s="45" t="n">
        <x:f>VLOOKUP(E53,'Rules and Assumptions'!$D$5:$F$15,2,FALSE)</x:f>
        <x:v>22</x:v>
      </x:c>
      <x:c r="U53" s="45" t="n">
        <x:f>VLOOKUP(J53,'Rules and Assumptions'!$H$5:$J$9,2,TRUE)</x:f>
        <x:v>10</x:v>
      </x:c>
      <x:c r="V53" s="45" t="n">
        <x:f>IF(D53&lt;&gt;"",4,0)+IF(F53&lt;&gt;"",2,0)+IF(G53&lt;&gt;"",1,0)+IF(L53&lt;&gt;"",2,0)+IF(R53&lt;&gt;"",1,0)</x:f>
        <x:v>10</x:v>
      </x:c>
      <x:c r="W53" s="45" t="n">
        <x:f>VLOOKUP(E53,'Rules and Assumptions'!$D$5:$F$15,3,FALSE)</x:f>
        <x:v>10</x:v>
      </x:c>
      <x:c r="X53" s="45" t="n">
        <x:f>SUM(S53:W53)</x:f>
        <x:v>72</x:v>
      </x:c>
      <x:c r="Y53" s="45" t="n">
        <x:f>RANK.EQ(X53,$X$5:$X$164,0)+COUNTIF($X$5:X53,X53)-1</x:f>
        <x:v>49</x:v>
      </x:c>
      <x:c r="Z53" s="43" t="str">
        <x:f>IF(Y53&lt;='Rules and Assumptions'!$M$5,"High",IF(Y53&lt;='Rules and Assumptions'!$M$6,"Medium","Low"))</x:f>
        <x:v>Medium</x:v>
      </x:c>
      <x:c r="AA53" s="43" t="str">
        <x:f>LOWER(TRIM(B53))</x:f>
        <x:v>ghgrp-1006452</x:v>
      </x:c>
      <x:c r="AB53" s="43" t="str">
        <x:f>IF(COUNTIF($AA$5:$AA$164,AA53)&gt;1,"Review","Unique")</x:f>
        <x:v>Unique</x:v>
      </x:c>
      <x:c r="AC53" s="47" t="str">
        <x:v>General commercial or institutional facility; validate site portfolio and purchasing authority.</x:v>
      </x:c>
      <x:c r="AD53" s="46" t="n">
        <x:v>45520</x:v>
      </x:c>
    </x:row>
    <x:row r="54">
      <x:c r="A54" s="41" t="str">
        <x:v>NE-050</x:v>
      </x:c>
      <x:c r="B54" s="41" t="str">
        <x:v>GHGRP-1007069</x:v>
      </x:c>
      <x:c r="C54" s="47" t="str">
        <x:v>ND OTM LLC - Old Town, ME</x:v>
      </x:c>
      <x:c r="D54" s="47" t="str">
        <x:v>ND PAPER LLC</x:v>
      </x:c>
      <x:c r="E54" s="47" t="str">
        <x:v>Pulp and Paper</x:v>
      </x:c>
      <x:c r="F54" s="41" t="str">
        <x:v>322110</x:v>
      </x:c>
      <x:c r="G54" s="41" t="str">
        <x:v>Old Town</x:v>
      </x:c>
      <x:c r="H54" s="41" t="str">
        <x:v>ME</x:v>
      </x:c>
      <x:c r="I54" s="41" t="str">
        <x:v>04468</x:v>
      </x:c>
      <x:c r="J54" s="42" t="n">
        <x:v>17886.03</x:v>
      </x:c>
      <x:c r="K54" s="43" t="str">
        <x:f>VLOOKUP(J54,'Rules and Assumptions'!$H$5:$J$9,3,TRUE)</x:f>
        <x:v>Small Reporting Load</x:v>
      </x:c>
      <x:c r="L54" s="47" t="str">
        <x:v>Energy Manager</x:v>
      </x:c>
      <x:c r="M54" s="47" t="str">
        <x:v>Director of Procurement</x:v>
      </x:c>
      <x:c r="N54" s="47" t="str">
        <x:v>Role identified; person not yet verified</x:v>
      </x:c>
      <x:c r="O54" s="47" t="str">
        <x:v>Industrial High-Load</x:v>
      </x:c>
      <x:c r="P54" s="47" t="str">
        <x:v>Sales Rep C - Northern New England</x:v>
      </x:c>
      <x:c r="Q54" s="47" t="str">
        <x:v>https://www.epa.gov/ghgreporting/data-sets</x:v>
      </x:c>
      <x:c r="R54" s="44" t="n">
        <x:v>1007069</x:v>
      </x:c>
      <x:c r="S54" s="45" t="n">
        <x:f>VLOOKUP(H54,'Rules and Assumptions'!$A$5:$B$10,2,FALSE)</x:f>
        <x:v>12</x:v>
      </x:c>
      <x:c r="T54" s="45" t="n">
        <x:f>VLOOKUP(E54,'Rules and Assumptions'!$D$5:$F$15,2,FALSE)</x:f>
        <x:v>30</x:v>
      </x:c>
      <x:c r="U54" s="45" t="n">
        <x:f>VLOOKUP(J54,'Rules and Assumptions'!$H$5:$J$9,2,TRUE)</x:f>
        <x:v>10</x:v>
      </x:c>
      <x:c r="V54" s="45" t="n">
        <x:f>IF(D54&lt;&gt;"",4,0)+IF(F54&lt;&gt;"",2,0)+IF(G54&lt;&gt;"",1,0)+IF(L54&lt;&gt;"",2,0)+IF(R54&lt;&gt;"",1,0)</x:f>
        <x:v>10</x:v>
      </x:c>
      <x:c r="W54" s="45" t="n">
        <x:f>VLOOKUP(E54,'Rules and Assumptions'!$D$5:$F$15,3,FALSE)</x:f>
        <x:v>10</x:v>
      </x:c>
      <x:c r="X54" s="45" t="n">
        <x:f>SUM(S54:W54)</x:f>
        <x:v>72</x:v>
      </x:c>
      <x:c r="Y54" s="45" t="n">
        <x:f>RANK.EQ(X54,$X$5:$X$164,0)+COUNTIF($X$5:X54,X54)-1</x:f>
        <x:v>50</x:v>
      </x:c>
      <x:c r="Z54" s="43" t="str">
        <x:f>IF(Y54&lt;='Rules and Assumptions'!$M$5,"High",IF(Y54&lt;='Rules and Assumptions'!$M$6,"Medium","Low"))</x:f>
        <x:v>Medium</x:v>
      </x:c>
      <x:c r="AA54" s="43" t="str">
        <x:f>LOWER(TRIM(B54))</x:f>
        <x:v>ghgrp-1007069</x:v>
      </x:c>
      <x:c r="AB54" s="43" t="str">
        <x:f>IF(COUNTIF($AA$5:$AA$164,AA54)&gt;1,"Review","Unique")</x:f>
        <x:v>Unique</x:v>
      </x:c>
      <x:c r="AC54" s="47" t="str">
        <x:v>High-load manufacturing prospect with a clear energy-management and procurement use case.</x:v>
      </x:c>
      <x:c r="AD54" s="46" t="n">
        <x:v>45520</x:v>
      </x:c>
    </x:row>
    <x:row r="55">
      <x:c r="A55" s="41" t="str">
        <x:v>NE-051</x:v>
      </x:c>
      <x:c r="B55" s="41" t="str">
        <x:v>GHGRP-1005123</x:v>
      </x:c>
      <x:c r="C55" s="47" t="str">
        <x:v>S D WARREN CO - Westbrook, ME</x:v>
      </x:c>
      <x:c r="D55" s="47" t="str">
        <x:v>SAPPI NORTH AMERICA INC</x:v>
      </x:c>
      <x:c r="E55" s="47" t="str">
        <x:v>Pulp and Paper</x:v>
      </x:c>
      <x:c r="F55" s="41" t="str">
        <x:v>322220</x:v>
      </x:c>
      <x:c r="G55" s="41" t="str">
        <x:v>Westbrook</x:v>
      </x:c>
      <x:c r="H55" s="41" t="str">
        <x:v>ME</x:v>
      </x:c>
      <x:c r="I55" s="41" t="str">
        <x:v>04092</x:v>
      </x:c>
      <x:c r="J55" s="42" t="n">
        <x:v>13352</x:v>
      </x:c>
      <x:c r="K55" s="43" t="str">
        <x:f>VLOOKUP(J55,'Rules and Assumptions'!$H$5:$J$9,3,TRUE)</x:f>
        <x:v>Small Reporting Load</x:v>
      </x:c>
      <x:c r="L55" s="47" t="str">
        <x:v>Energy Manager</x:v>
      </x:c>
      <x:c r="M55" s="47" t="str">
        <x:v>Director of Procurement</x:v>
      </x:c>
      <x:c r="N55" s="47" t="str">
        <x:v>Role identified; person not yet verified</x:v>
      </x:c>
      <x:c r="O55" s="47" t="str">
        <x:v>Industrial High-Load</x:v>
      </x:c>
      <x:c r="P55" s="47" t="str">
        <x:v>Sales Rep C - Northern New England</x:v>
      </x:c>
      <x:c r="Q55" s="47" t="str">
        <x:v>https://www.epa.gov/ghgreporting/data-sets</x:v>
      </x:c>
      <x:c r="R55" s="44" t="n">
        <x:v>1005123</x:v>
      </x:c>
      <x:c r="S55" s="45" t="n">
        <x:f>VLOOKUP(H55,'Rules and Assumptions'!$A$5:$B$10,2,FALSE)</x:f>
        <x:v>12</x:v>
      </x:c>
      <x:c r="T55" s="45" t="n">
        <x:f>VLOOKUP(E55,'Rules and Assumptions'!$D$5:$F$15,2,FALSE)</x:f>
        <x:v>30</x:v>
      </x:c>
      <x:c r="U55" s="45" t="n">
        <x:f>VLOOKUP(J55,'Rules and Assumptions'!$H$5:$J$9,2,TRUE)</x:f>
        <x:v>10</x:v>
      </x:c>
      <x:c r="V55" s="45" t="n">
        <x:f>IF(D55&lt;&gt;"",4,0)+IF(F55&lt;&gt;"",2,0)+IF(G55&lt;&gt;"",1,0)+IF(L55&lt;&gt;"",2,0)+IF(R55&lt;&gt;"",1,0)</x:f>
        <x:v>10</x:v>
      </x:c>
      <x:c r="W55" s="45" t="n">
        <x:f>VLOOKUP(E55,'Rules and Assumptions'!$D$5:$F$15,3,FALSE)</x:f>
        <x:v>10</x:v>
      </x:c>
      <x:c r="X55" s="45" t="n">
        <x:f>SUM(S55:W55)</x:f>
        <x:v>72</x:v>
      </x:c>
      <x:c r="Y55" s="45" t="n">
        <x:f>RANK.EQ(X55,$X$5:$X$164,0)+COUNTIF($X$5:X55,X55)-1</x:f>
        <x:v>51</x:v>
      </x:c>
      <x:c r="Z55" s="43" t="str">
        <x:f>IF(Y55&lt;='Rules and Assumptions'!$M$5,"High",IF(Y55&lt;='Rules and Assumptions'!$M$6,"Medium","Low"))</x:f>
        <x:v>Medium</x:v>
      </x:c>
      <x:c r="AA55" s="43" t="str">
        <x:f>LOWER(TRIM(B55))</x:f>
        <x:v>ghgrp-1005123</x:v>
      </x:c>
      <x:c r="AB55" s="43" t="str">
        <x:f>IF(COUNTIF($AA$5:$AA$164,AA55)&gt;1,"Review","Unique")</x:f>
        <x:v>Unique</x:v>
      </x:c>
      <x:c r="AC55" s="47" t="str">
        <x:v>High-load manufacturing prospect with a clear energy-management and procurement use case.</x:v>
      </x:c>
      <x:c r="AD55" s="46" t="n">
        <x:v>45520</x:v>
      </x:c>
    </x:row>
    <x:row r="56">
      <x:c r="A56" s="41" t="str">
        <x:v>NE-052</x:v>
      </x:c>
      <x:c r="B56" s="41" t="str">
        <x:v>GHGRP-1005172</x:v>
      </x:c>
      <x:c r="C56" s="47" t="str">
        <x:v>COVANTA BRISTOL, INC - Bristol, CT</x:v>
      </x:c>
      <x:c r="D56" s="47" t="str">
        <x:v>COVANTA HOLDING CORP</x:v>
      </x:c>
      <x:c r="E56" s="47" t="str">
        <x:v>Waste</x:v>
      </x:c>
      <x:c r="F56" s="41" t="str">
        <x:v>562213</x:v>
      </x:c>
      <x:c r="G56" s="41" t="str">
        <x:v>Bristol</x:v>
      </x:c>
      <x:c r="H56" s="41" t="str">
        <x:v>CT</x:v>
      </x:c>
      <x:c r="I56" s="41" t="str">
        <x:v>06010</x:v>
      </x:c>
      <x:c r="J56" s="42" t="n">
        <x:v>85035.586</x:v>
      </x:c>
      <x:c r="K56" s="43" t="str">
        <x:f>VLOOKUP(J56,'Rules and Assumptions'!$H$5:$J$9,3,TRUE)</x:f>
        <x:v>Mid Reporting Load</x:v>
      </x:c>
      <x:c r="L56" s="47" t="str">
        <x:v>Director of Operations</x:v>
      </x:c>
      <x:c r="M56" s="47" t="str">
        <x:v>Facilities Manager</x:v>
      </x:c>
      <x:c r="N56" s="47" t="str">
        <x:v>Role identified; person not yet verified</x:v>
      </x:c>
      <x:c r="O56" s="47" t="str">
        <x:v>Waste and Environmental</x:v>
      </x:c>
      <x:c r="P56" s="47" t="str">
        <x:v>Sales Rep B - Connecticut/Rhode Island</x:v>
      </x:c>
      <x:c r="Q56" s="47" t="str">
        <x:v>https://www.epa.gov/ghgreporting/data-sets</x:v>
      </x:c>
      <x:c r="R56" s="44" t="n">
        <x:v>1005172</x:v>
      </x:c>
      <x:c r="S56" s="45" t="n">
        <x:f>VLOOKUP(H56,'Rules and Assumptions'!$A$5:$B$10,2,FALSE)</x:f>
        <x:v>16</x:v>
      </x:c>
      <x:c r="T56" s="45" t="n">
        <x:f>VLOOKUP(E56,'Rules and Assumptions'!$D$5:$F$15,2,FALSE)</x:f>
        <x:v>20</x:v>
      </x:c>
      <x:c r="U56" s="45" t="n">
        <x:f>VLOOKUP(J56,'Rules and Assumptions'!$H$5:$J$9,2,TRUE)</x:f>
        <x:v>15</x:v>
      </x:c>
      <x:c r="V56" s="45" t="n">
        <x:f>IF(D56&lt;&gt;"",4,0)+IF(F56&lt;&gt;"",2,0)+IF(G56&lt;&gt;"",1,0)+IF(L56&lt;&gt;"",2,0)+IF(R56&lt;&gt;"",1,0)</x:f>
        <x:v>10</x:v>
      </x:c>
      <x:c r="W56" s="45" t="n">
        <x:f>VLOOKUP(E56,'Rules and Assumptions'!$D$5:$F$15,3,FALSE)</x:f>
        <x:v>9</x:v>
      </x:c>
      <x:c r="X56" s="45" t="n">
        <x:f>SUM(S56:W56)</x:f>
        <x:v>70</x:v>
      </x:c>
      <x:c r="Y56" s="45" t="n">
        <x:f>RANK.EQ(X56,$X$5:$X$164,0)+COUNTIF($X$5:X56,X56)-1</x:f>
        <x:v>52</x:v>
      </x:c>
      <x:c r="Z56" s="43" t="str">
        <x:f>IF(Y56&lt;='Rules and Assumptions'!$M$5,"High",IF(Y56&lt;='Rules and Assumptions'!$M$6,"Medium","Low"))</x:f>
        <x:v>Medium</x:v>
      </x:c>
      <x:c r="AA56" s="43" t="str">
        <x:f>LOWER(TRIM(B56))</x:f>
        <x:v>ghgrp-1005172</x:v>
      </x:c>
      <x:c r="AB56" s="43" t="str">
        <x:f>IF(COUNTIF($AA$5:$AA$164,AA56)&gt;1,"Review","Unique")</x:f>
        <x:v>Unique</x:v>
      </x:c>
      <x:c r="AC56" s="47" t="str">
        <x:v>Waste-sector facility; qualify electricity, natural-gas, and multi-site purchasing needs.</x:v>
      </x:c>
      <x:c r="AD56" s="46" t="n">
        <x:v>45520</x:v>
      </x:c>
    </x:row>
    <x:row r="57">
      <x:c r="A57" s="41" t="str">
        <x:v>NE-053</x:v>
      </x:c>
      <x:c r="B57" s="41" t="str">
        <x:v>GHGRP-1004184</x:v>
      </x:c>
      <x:c r="C57" s="47" t="str">
        <x:v>MANCHESTER LANDFILL - Manchester, CT</x:v>
      </x:c>
      <x:c r="D57" s="47" t="str">
        <x:v>TOWN OF MANCHESTER CONNECTICUT</x:v>
      </x:c>
      <x:c r="E57" s="47" t="str">
        <x:v>Waste</x:v>
      </x:c>
      <x:c r="F57" s="41" t="str">
        <x:v>562212</x:v>
      </x:c>
      <x:c r="G57" s="41" t="str">
        <x:v>Manchester</x:v>
      </x:c>
      <x:c r="H57" s="41" t="str">
        <x:v>CT</x:v>
      </x:c>
      <x:c r="I57" s="41" t="str">
        <x:v>06040</x:v>
      </x:c>
      <x:c r="J57" s="42" t="n">
        <x:v>80879.898</x:v>
      </x:c>
      <x:c r="K57" s="43" t="str">
        <x:f>VLOOKUP(J57,'Rules and Assumptions'!$H$5:$J$9,3,TRUE)</x:f>
        <x:v>Mid Reporting Load</x:v>
      </x:c>
      <x:c r="L57" s="47" t="str">
        <x:v>Director of Operations</x:v>
      </x:c>
      <x:c r="M57" s="47" t="str">
        <x:v>Facilities Manager</x:v>
      </x:c>
      <x:c r="N57" s="47" t="str">
        <x:v>Role identified; person not yet verified</x:v>
      </x:c>
      <x:c r="O57" s="47" t="str">
        <x:v>Waste and Environmental</x:v>
      </x:c>
      <x:c r="P57" s="47" t="str">
        <x:v>Sales Rep B - Connecticut/Rhode Island</x:v>
      </x:c>
      <x:c r="Q57" s="47" t="str">
        <x:v>https://www.epa.gov/ghgreporting/data-sets</x:v>
      </x:c>
      <x:c r="R57" s="44" t="n">
        <x:v>1004184</x:v>
      </x:c>
      <x:c r="S57" s="45" t="n">
        <x:f>VLOOKUP(H57,'Rules and Assumptions'!$A$5:$B$10,2,FALSE)</x:f>
        <x:v>16</x:v>
      </x:c>
      <x:c r="T57" s="45" t="n">
        <x:f>VLOOKUP(E57,'Rules and Assumptions'!$D$5:$F$15,2,FALSE)</x:f>
        <x:v>20</x:v>
      </x:c>
      <x:c r="U57" s="45" t="n">
        <x:f>VLOOKUP(J57,'Rules and Assumptions'!$H$5:$J$9,2,TRUE)</x:f>
        <x:v>15</x:v>
      </x:c>
      <x:c r="V57" s="45" t="n">
        <x:f>IF(D57&lt;&gt;"",4,0)+IF(F57&lt;&gt;"",2,0)+IF(G57&lt;&gt;"",1,0)+IF(L57&lt;&gt;"",2,0)+IF(R57&lt;&gt;"",1,0)</x:f>
        <x:v>10</x:v>
      </x:c>
      <x:c r="W57" s="45" t="n">
        <x:f>VLOOKUP(E57,'Rules and Assumptions'!$D$5:$F$15,3,FALSE)</x:f>
        <x:v>9</x:v>
      </x:c>
      <x:c r="X57" s="45" t="n">
        <x:f>SUM(S57:W57)</x:f>
        <x:v>70</x:v>
      </x:c>
      <x:c r="Y57" s="45" t="n">
        <x:f>RANK.EQ(X57,$X$5:$X$164,0)+COUNTIF($X$5:X57,X57)-1</x:f>
        <x:v>53</x:v>
      </x:c>
      <x:c r="Z57" s="43" t="str">
        <x:f>IF(Y57&lt;='Rules and Assumptions'!$M$5,"High",IF(Y57&lt;='Rules and Assumptions'!$M$6,"Medium","Low"))</x:f>
        <x:v>Medium</x:v>
      </x:c>
      <x:c r="AA57" s="43" t="str">
        <x:f>LOWER(TRIM(B57))</x:f>
        <x:v>ghgrp-1004184</x:v>
      </x:c>
      <x:c r="AB57" s="43" t="str">
        <x:f>IF(COUNTIF($AA$5:$AA$164,AA57)&gt;1,"Review","Unique")</x:f>
        <x:v>Unique</x:v>
      </x:c>
      <x:c r="AC57" s="47" t="str">
        <x:v>Waste-sector facility; qualify electricity, natural-gas, and multi-site purchasing needs.</x:v>
      </x:c>
      <x:c r="AD57" s="46" t="n">
        <x:v>45520</x:v>
      </x:c>
    </x:row>
    <x:row r="58">
      <x:c r="A58" s="41" t="str">
        <x:v>NE-054</x:v>
      </x:c>
      <x:c r="B58" s="41" t="str">
        <x:v>GHGRP-1004540</x:v>
      </x:c>
      <x:c r="C58" s="47" t="str">
        <x:v>Wheelabrator Lisbon Inc. - Lisbon, CT</x:v>
      </x:c>
      <x:c r="D58" s="47" t="str">
        <x:v>WHEELABRATOR TECHNOLOGIES HOLDINGS INC</x:v>
      </x:c>
      <x:c r="E58" s="47" t="str">
        <x:v>Waste</x:v>
      </x:c>
      <x:c r="F58" s="41" t="str">
        <x:v>562213</x:v>
      </x:c>
      <x:c r="G58" s="41" t="str">
        <x:v>Lisbon</x:v>
      </x:c>
      <x:c r="H58" s="41" t="str">
        <x:v>CT</x:v>
      </x:c>
      <x:c r="I58" s="41" t="str">
        <x:v>06351</x:v>
      </x:c>
      <x:c r="J58" s="42" t="n">
        <x:v>75615.104</x:v>
      </x:c>
      <x:c r="K58" s="43" t="str">
        <x:f>VLOOKUP(J58,'Rules and Assumptions'!$H$5:$J$9,3,TRUE)</x:f>
        <x:v>Mid Reporting Load</x:v>
      </x:c>
      <x:c r="L58" s="47" t="str">
        <x:v>Director of Operations</x:v>
      </x:c>
      <x:c r="M58" s="47" t="str">
        <x:v>Facilities Manager</x:v>
      </x:c>
      <x:c r="N58" s="47" t="str">
        <x:v>Role identified; person not yet verified</x:v>
      </x:c>
      <x:c r="O58" s="47" t="str">
        <x:v>Waste and Environmental</x:v>
      </x:c>
      <x:c r="P58" s="47" t="str">
        <x:v>Sales Rep B - Connecticut/Rhode Island</x:v>
      </x:c>
      <x:c r="Q58" s="47" t="str">
        <x:v>https://www.epa.gov/ghgreporting/data-sets</x:v>
      </x:c>
      <x:c r="R58" s="44" t="n">
        <x:v>1004540</x:v>
      </x:c>
      <x:c r="S58" s="45" t="n">
        <x:f>VLOOKUP(H58,'Rules and Assumptions'!$A$5:$B$10,2,FALSE)</x:f>
        <x:v>16</x:v>
      </x:c>
      <x:c r="T58" s="45" t="n">
        <x:f>VLOOKUP(E58,'Rules and Assumptions'!$D$5:$F$15,2,FALSE)</x:f>
        <x:v>20</x:v>
      </x:c>
      <x:c r="U58" s="45" t="n">
        <x:f>VLOOKUP(J58,'Rules and Assumptions'!$H$5:$J$9,2,TRUE)</x:f>
        <x:v>15</x:v>
      </x:c>
      <x:c r="V58" s="45" t="n">
        <x:f>IF(D58&lt;&gt;"",4,0)+IF(F58&lt;&gt;"",2,0)+IF(G58&lt;&gt;"",1,0)+IF(L58&lt;&gt;"",2,0)+IF(R58&lt;&gt;"",1,0)</x:f>
        <x:v>10</x:v>
      </x:c>
      <x:c r="W58" s="45" t="n">
        <x:f>VLOOKUP(E58,'Rules and Assumptions'!$D$5:$F$15,3,FALSE)</x:f>
        <x:v>9</x:v>
      </x:c>
      <x:c r="X58" s="45" t="n">
        <x:f>SUM(S58:W58)</x:f>
        <x:v>70</x:v>
      </x:c>
      <x:c r="Y58" s="45" t="n">
        <x:f>RANK.EQ(X58,$X$5:$X$164,0)+COUNTIF($X$5:X58,X58)-1</x:f>
        <x:v>54</x:v>
      </x:c>
      <x:c r="Z58" s="43" t="str">
        <x:f>IF(Y58&lt;='Rules and Assumptions'!$M$5,"High",IF(Y58&lt;='Rules and Assumptions'!$M$6,"Medium","Low"))</x:f>
        <x:v>Medium</x:v>
      </x:c>
      <x:c r="AA58" s="43" t="str">
        <x:f>LOWER(TRIM(B58))</x:f>
        <x:v>ghgrp-1004540</x:v>
      </x:c>
      <x:c r="AB58" s="43" t="str">
        <x:f>IF(COUNTIF($AA$5:$AA$164,AA58)&gt;1,"Review","Unique")</x:f>
        <x:v>Unique</x:v>
      </x:c>
      <x:c r="AC58" s="47" t="str">
        <x:v>Waste-sector facility; qualify electricity, natural-gas, and multi-site purchasing needs.</x:v>
      </x:c>
      <x:c r="AD58" s="46" t="n">
        <x:v>45520</x:v>
      </x:c>
    </x:row>
    <x:row r="59">
      <x:c r="A59" s="41" t="str">
        <x:v>NE-055</x:v>
      </x:c>
      <x:c r="B59" s="41" t="str">
        <x:v>GHGRP-1005255</x:v>
      </x:c>
      <x:c r="C59" s="47" t="str">
        <x:v>NORTH COUNTRY ENVIRONMENTAL SERVICES INC - Bethlehem, NH</x:v>
      </x:c>
      <x:c r="D59" s="47" t="str">
        <x:v>CASELLA WASTE SYSTEMS INC</x:v>
      </x:c>
      <x:c r="E59" s="47" t="str">
        <x:v>Waste</x:v>
      </x:c>
      <x:c r="F59" s="41" t="str">
        <x:v>562212</x:v>
      </x:c>
      <x:c r="G59" s="41" t="str">
        <x:v>Bethlehem</x:v>
      </x:c>
      <x:c r="H59" s="41" t="str">
        <x:v>NH</x:v>
      </x:c>
      <x:c r="I59" s="41" t="str">
        <x:v>03574</x:v>
      </x:c>
      <x:c r="J59" s="42" t="n">
        <x:v>72501.45</x:v>
      </x:c>
      <x:c r="K59" s="43" t="str">
        <x:f>VLOOKUP(J59,'Rules and Assumptions'!$H$5:$J$9,3,TRUE)</x:f>
        <x:v>Mid Reporting Load</x:v>
      </x:c>
      <x:c r="L59" s="47" t="str">
        <x:v>Director of Operations</x:v>
      </x:c>
      <x:c r="M59" s="47" t="str">
        <x:v>Facilities Manager</x:v>
      </x:c>
      <x:c r="N59" s="47" t="str">
        <x:v>Role identified; person not yet verified</x:v>
      </x:c>
      <x:c r="O59" s="47" t="str">
        <x:v>Waste and Environmental</x:v>
      </x:c>
      <x:c r="P59" s="47" t="str">
        <x:v>Sales Rep C - Northern New England</x:v>
      </x:c>
      <x:c r="Q59" s="47" t="str">
        <x:v>https://www.epa.gov/ghgreporting/data-sets</x:v>
      </x:c>
      <x:c r="R59" s="44" t="n">
        <x:v>1005255</x:v>
      </x:c>
      <x:c r="S59" s="45" t="n">
        <x:f>VLOOKUP(H59,'Rules and Assumptions'!$A$5:$B$10,2,FALSE)</x:f>
        <x:v>16</x:v>
      </x:c>
      <x:c r="T59" s="45" t="n">
        <x:f>VLOOKUP(E59,'Rules and Assumptions'!$D$5:$F$15,2,FALSE)</x:f>
        <x:v>20</x:v>
      </x:c>
      <x:c r="U59" s="45" t="n">
        <x:f>VLOOKUP(J59,'Rules and Assumptions'!$H$5:$J$9,2,TRUE)</x:f>
        <x:v>15</x:v>
      </x:c>
      <x:c r="V59" s="45" t="n">
        <x:f>IF(D59&lt;&gt;"",4,0)+IF(F59&lt;&gt;"",2,0)+IF(G59&lt;&gt;"",1,0)+IF(L59&lt;&gt;"",2,0)+IF(R59&lt;&gt;"",1,0)</x:f>
        <x:v>10</x:v>
      </x:c>
      <x:c r="W59" s="45" t="n">
        <x:f>VLOOKUP(E59,'Rules and Assumptions'!$D$5:$F$15,3,FALSE)</x:f>
        <x:v>9</x:v>
      </x:c>
      <x:c r="X59" s="45" t="n">
        <x:f>SUM(S59:W59)</x:f>
        <x:v>70</x:v>
      </x:c>
      <x:c r="Y59" s="45" t="n">
        <x:f>RANK.EQ(X59,$X$5:$X$164,0)+COUNTIF($X$5:X59,X59)-1</x:f>
        <x:v>55</x:v>
      </x:c>
      <x:c r="Z59" s="43" t="str">
        <x:f>IF(Y59&lt;='Rules and Assumptions'!$M$5,"High",IF(Y59&lt;='Rules and Assumptions'!$M$6,"Medium","Low"))</x:f>
        <x:v>Medium</x:v>
      </x:c>
      <x:c r="AA59" s="43" t="str">
        <x:f>LOWER(TRIM(B59))</x:f>
        <x:v>ghgrp-1005255</x:v>
      </x:c>
      <x:c r="AB59" s="43" t="str">
        <x:f>IF(COUNTIF($AA$5:$AA$164,AA59)&gt;1,"Review","Unique")</x:f>
        <x:v>Unique</x:v>
      </x:c>
      <x:c r="AC59" s="47" t="str">
        <x:v>Waste-sector facility; qualify electricity, natural-gas, and multi-site purchasing needs.</x:v>
      </x:c>
      <x:c r="AD59" s="46" t="n">
        <x:v>45520</x:v>
      </x:c>
    </x:row>
    <x:row r="60">
      <x:c r="A60" s="41" t="str">
        <x:v>NE-056</x:v>
      </x:c>
      <x:c r="B60" s="41" t="str">
        <x:v>GHGRP-1006369</x:v>
      </x:c>
      <x:c r="C60" s="47" t="str">
        <x:v>WHEELABRATOR CONCORD COMPANY LP - Concord (Penacook), NH</x:v>
      </x:c>
      <x:c r="D60" s="47" t="str">
        <x:v>WHEELABRATOR TECHNOLOGIES HOLDINGS INC</x:v>
      </x:c>
      <x:c r="E60" s="47" t="str">
        <x:v>Waste</x:v>
      </x:c>
      <x:c r="F60" s="41" t="str">
        <x:v>562213</x:v>
      </x:c>
      <x:c r="G60" s="41" t="str">
        <x:v>Concord (Penacook)</x:v>
      </x:c>
      <x:c r="H60" s="41" t="str">
        <x:v>NH</x:v>
      </x:c>
      <x:c r="I60" s="41" t="str">
        <x:v>03303</x:v>
      </x:c>
      <x:c r="J60" s="42" t="n">
        <x:v>70061.384</x:v>
      </x:c>
      <x:c r="K60" s="43" t="str">
        <x:f>VLOOKUP(J60,'Rules and Assumptions'!$H$5:$J$9,3,TRUE)</x:f>
        <x:v>Mid Reporting Load</x:v>
      </x:c>
      <x:c r="L60" s="47" t="str">
        <x:v>Director of Operations</x:v>
      </x:c>
      <x:c r="M60" s="47" t="str">
        <x:v>Facilities Manager</x:v>
      </x:c>
      <x:c r="N60" s="47" t="str">
        <x:v>Role identified; person not yet verified</x:v>
      </x:c>
      <x:c r="O60" s="47" t="str">
        <x:v>Waste and Environmental</x:v>
      </x:c>
      <x:c r="P60" s="47" t="str">
        <x:v>Sales Rep C - Northern New England</x:v>
      </x:c>
      <x:c r="Q60" s="47" t="str">
        <x:v>https://www.epa.gov/ghgreporting/data-sets</x:v>
      </x:c>
      <x:c r="R60" s="44" t="n">
        <x:v>1006369</x:v>
      </x:c>
      <x:c r="S60" s="45" t="n">
        <x:f>VLOOKUP(H60,'Rules and Assumptions'!$A$5:$B$10,2,FALSE)</x:f>
        <x:v>16</x:v>
      </x:c>
      <x:c r="T60" s="45" t="n">
        <x:f>VLOOKUP(E60,'Rules and Assumptions'!$D$5:$F$15,2,FALSE)</x:f>
        <x:v>20</x:v>
      </x:c>
      <x:c r="U60" s="45" t="n">
        <x:f>VLOOKUP(J60,'Rules and Assumptions'!$H$5:$J$9,2,TRUE)</x:f>
        <x:v>15</x:v>
      </x:c>
      <x:c r="V60" s="45" t="n">
        <x:f>IF(D60&lt;&gt;"",4,0)+IF(F60&lt;&gt;"",2,0)+IF(G60&lt;&gt;"",1,0)+IF(L60&lt;&gt;"",2,0)+IF(R60&lt;&gt;"",1,0)</x:f>
        <x:v>10</x:v>
      </x:c>
      <x:c r="W60" s="45" t="n">
        <x:f>VLOOKUP(E60,'Rules and Assumptions'!$D$5:$F$15,3,FALSE)</x:f>
        <x:v>9</x:v>
      </x:c>
      <x:c r="X60" s="45" t="n">
        <x:f>SUM(S60:W60)</x:f>
        <x:v>70</x:v>
      </x:c>
      <x:c r="Y60" s="45" t="n">
        <x:f>RANK.EQ(X60,$X$5:$X$164,0)+COUNTIF($X$5:X60,X60)-1</x:f>
        <x:v>56</x:v>
      </x:c>
      <x:c r="Z60" s="43" t="str">
        <x:f>IF(Y60&lt;='Rules and Assumptions'!$M$5,"High",IF(Y60&lt;='Rules and Assumptions'!$M$6,"Medium","Low"))</x:f>
        <x:v>Medium</x:v>
      </x:c>
      <x:c r="AA60" s="43" t="str">
        <x:f>LOWER(TRIM(B60))</x:f>
        <x:v>ghgrp-1006369</x:v>
      </x:c>
      <x:c r="AB60" s="43" t="str">
        <x:f>IF(COUNTIF($AA$5:$AA$164,AA60)&gt;1,"Review","Unique")</x:f>
        <x:v>Unique</x:v>
      </x:c>
      <x:c r="AC60" s="47" t="str">
        <x:v>Waste-sector facility; qualify electricity, natural-gas, and multi-site purchasing needs.</x:v>
      </x:c>
      <x:c r="AD60" s="46" t="n">
        <x:v>45520</x:v>
      </x:c>
    </x:row>
    <x:row r="61">
      <x:c r="A61" s="41" t="str">
        <x:v>NE-057</x:v>
      </x:c>
      <x:c r="B61" s="41" t="str">
        <x:v>GHGRP-1004698</x:v>
      </x:c>
      <x:c r="C61" s="47" t="str">
        <x:v>PORTSMOUTH NAVAL SHIPYARD - Kittery, ME</x:v>
      </x:c>
      <x:c r="D61" s="47" t="str">
        <x:v>US GOVERNMENT</x:v>
      </x:c>
      <x:c r="E61" s="47" t="str">
        <x:v>Other</x:v>
      </x:c>
      <x:c r="F61" s="41" t="str">
        <x:v>928110</x:v>
      </x:c>
      <x:c r="G61" s="41" t="str">
        <x:v>Kittery</x:v>
      </x:c>
      <x:c r="H61" s="41" t="str">
        <x:v>ME</x:v>
      </x:c>
      <x:c r="I61" s="41" t="str">
        <x:v>03904</x:v>
      </x:c>
      <x:c r="J61" s="42" t="n">
        <x:v>72230.726</x:v>
      </x:c>
      <x:c r="K61" s="43" t="str">
        <x:f>VLOOKUP(J61,'Rules and Assumptions'!$H$5:$J$9,3,TRUE)</x:f>
        <x:v>Mid Reporting Load</x:v>
      </x:c>
      <x:c r="L61" s="47" t="str">
        <x:v>Director of Facilities</x:v>
      </x:c>
      <x:c r="M61" s="47" t="str">
        <x:v>Energy and Sustainability Manager</x:v>
      </x:c>
      <x:c r="N61" s="47" t="str">
        <x:v>Role identified; person not yet verified</x:v>
      </x:c>
      <x:c r="O61" s="47" t="str">
        <x:v>Facilities and Institutions</x:v>
      </x:c>
      <x:c r="P61" s="47" t="str">
        <x:v>Sales Rep C - Northern New England</x:v>
      </x:c>
      <x:c r="Q61" s="47" t="str">
        <x:v>https://www.epa.gov/ghgreporting/data-sets</x:v>
      </x:c>
      <x:c r="R61" s="44" t="n">
        <x:v>1004698</x:v>
      </x:c>
      <x:c r="S61" s="45" t="n">
        <x:f>VLOOKUP(H61,'Rules and Assumptions'!$A$5:$B$10,2,FALSE)</x:f>
        <x:v>12</x:v>
      </x:c>
      <x:c r="T61" s="45" t="n">
        <x:f>VLOOKUP(E61,'Rules and Assumptions'!$D$5:$F$15,2,FALSE)</x:f>
        <x:v>22</x:v>
      </x:c>
      <x:c r="U61" s="45" t="n">
        <x:f>VLOOKUP(J61,'Rules and Assumptions'!$H$5:$J$9,2,TRUE)</x:f>
        <x:v>15</x:v>
      </x:c>
      <x:c r="V61" s="45" t="n">
        <x:f>IF(D61&lt;&gt;"",4,0)+IF(F61&lt;&gt;"",2,0)+IF(G61&lt;&gt;"",1,0)+IF(L61&lt;&gt;"",2,0)+IF(R61&lt;&gt;"",1,0)</x:f>
        <x:v>10</x:v>
      </x:c>
      <x:c r="W61" s="45" t="n">
        <x:f>VLOOKUP(E61,'Rules and Assumptions'!$D$5:$F$15,3,FALSE)</x:f>
        <x:v>10</x:v>
      </x:c>
      <x:c r="X61" s="45" t="n">
        <x:f>SUM(S61:W61)</x:f>
        <x:v>69</x:v>
      </x:c>
      <x:c r="Y61" s="45" t="n">
        <x:f>RANK.EQ(X61,$X$5:$X$164,0)+COUNTIF($X$5:X61,X61)-1</x:f>
        <x:v>57</x:v>
      </x:c>
      <x:c r="Z61" s="43" t="str">
        <x:f>IF(Y61&lt;='Rules and Assumptions'!$M$5,"High",IF(Y61&lt;='Rules and Assumptions'!$M$6,"Medium","Low"))</x:f>
        <x:v>Medium</x:v>
      </x:c>
      <x:c r="AA61" s="43" t="str">
        <x:f>LOWER(TRIM(B61))</x:f>
        <x:v>ghgrp-1004698</x:v>
      </x:c>
      <x:c r="AB61" s="43" t="str">
        <x:f>IF(COUNTIF($AA$5:$AA$164,AA61)&gt;1,"Review","Unique")</x:f>
        <x:v>Unique</x:v>
      </x:c>
      <x:c r="AC61" s="47" t="str">
        <x:v>General commercial or institutional facility; validate site portfolio and purchasing authority.</x:v>
      </x:c>
      <x:c r="AD61" s="46" t="n">
        <x:v>45520</x:v>
      </x:c>
    </x:row>
    <x:row r="62">
      <x:c r="A62" s="41" t="str">
        <x:v>NE-058</x:v>
      </x:c>
      <x:c r="B62" s="41" t="str">
        <x:v>GHGRP-1010208</x:v>
      </x:c>
      <x:c r="C62" s="47" t="str">
        <x:v>Texas Instruments Incorporated - Maine Fab - South Portland, ME</x:v>
      </x:c>
      <x:c r="D62" s="47" t="str">
        <x:v>TEXAS INSTRUMENTS INC</x:v>
      </x:c>
      <x:c r="E62" s="47" t="str">
        <x:v>Other</x:v>
      </x:c>
      <x:c r="F62" s="41" t="str">
        <x:v>334413</x:v>
      </x:c>
      <x:c r="G62" s="41" t="str">
        <x:v>South Portland</x:v>
      </x:c>
      <x:c r="H62" s="41" t="str">
        <x:v>ME</x:v>
      </x:c>
      <x:c r="I62" s="41" t="str">
        <x:v>04106</x:v>
      </x:c>
      <x:c r="J62" s="42" t="n">
        <x:v>69821.836662</x:v>
      </x:c>
      <x:c r="K62" s="43" t="str">
        <x:f>VLOOKUP(J62,'Rules and Assumptions'!$H$5:$J$9,3,TRUE)</x:f>
        <x:v>Mid Reporting Load</x:v>
      </x:c>
      <x:c r="L62" s="47" t="str">
        <x:v>Director of Facilities</x:v>
      </x:c>
      <x:c r="M62" s="47" t="str">
        <x:v>Energy and Sustainability Manager</x:v>
      </x:c>
      <x:c r="N62" s="47" t="str">
        <x:v>Role identified; person not yet verified</x:v>
      </x:c>
      <x:c r="O62" s="47" t="str">
        <x:v>Facilities and Institutions</x:v>
      </x:c>
      <x:c r="P62" s="47" t="str">
        <x:v>Sales Rep C - Northern New England</x:v>
      </x:c>
      <x:c r="Q62" s="47" t="str">
        <x:v>https://www.epa.gov/ghgreporting/data-sets</x:v>
      </x:c>
      <x:c r="R62" s="44" t="n">
        <x:v>1010208</x:v>
      </x:c>
      <x:c r="S62" s="45" t="n">
        <x:f>VLOOKUP(H62,'Rules and Assumptions'!$A$5:$B$10,2,FALSE)</x:f>
        <x:v>12</x:v>
      </x:c>
      <x:c r="T62" s="45" t="n">
        <x:f>VLOOKUP(E62,'Rules and Assumptions'!$D$5:$F$15,2,FALSE)</x:f>
        <x:v>22</x:v>
      </x:c>
      <x:c r="U62" s="45" t="n">
        <x:f>VLOOKUP(J62,'Rules and Assumptions'!$H$5:$J$9,2,TRUE)</x:f>
        <x:v>15</x:v>
      </x:c>
      <x:c r="V62" s="45" t="n">
        <x:f>IF(D62&lt;&gt;"",4,0)+IF(F62&lt;&gt;"",2,0)+IF(G62&lt;&gt;"",1,0)+IF(L62&lt;&gt;"",2,0)+IF(R62&lt;&gt;"",1,0)</x:f>
        <x:v>10</x:v>
      </x:c>
      <x:c r="W62" s="45" t="n">
        <x:f>VLOOKUP(E62,'Rules and Assumptions'!$D$5:$F$15,3,FALSE)</x:f>
        <x:v>10</x:v>
      </x:c>
      <x:c r="X62" s="45" t="n">
        <x:f>SUM(S62:W62)</x:f>
        <x:v>69</x:v>
      </x:c>
      <x:c r="Y62" s="45" t="n">
        <x:f>RANK.EQ(X62,$X$5:$X$164,0)+COUNTIF($X$5:X62,X62)-1</x:f>
        <x:v>58</x:v>
      </x:c>
      <x:c r="Z62" s="43" t="str">
        <x:f>IF(Y62&lt;='Rules and Assumptions'!$M$5,"High",IF(Y62&lt;='Rules and Assumptions'!$M$6,"Medium","Low"))</x:f>
        <x:v>Medium</x:v>
      </x:c>
      <x:c r="AA62" s="43" t="str">
        <x:f>LOWER(TRIM(B62))</x:f>
        <x:v>ghgrp-1010208</x:v>
      </x:c>
      <x:c r="AB62" s="43" t="str">
        <x:f>IF(COUNTIF($AA$5:$AA$164,AA62)&gt;1,"Review","Unique")</x:f>
        <x:v>Unique</x:v>
      </x:c>
      <x:c r="AC62" s="47" t="str">
        <x:v>General commercial or institutional facility; validate site portfolio and purchasing authority.</x:v>
      </x:c>
      <x:c r="AD62" s="46" t="n">
        <x:v>45520</x:v>
      </x:c>
    </x:row>
    <x:row r="63">
      <x:c r="A63" s="41" t="str">
        <x:v>NE-059</x:v>
      </x:c>
      <x:c r="B63" s="41" t="str">
        <x:v>GHGRP-1005213</x:v>
      </x:c>
      <x:c r="C63" s="47" t="str">
        <x:v>HAVERHILL LANDFILL - Haverhill, MA</x:v>
      </x:c>
      <x:c r="D63" s="47" t="str">
        <x:v>COVANTA HOLDING CORP</x:v>
      </x:c>
      <x:c r="E63" s="47" t="str">
        <x:v>Waste</x:v>
      </x:c>
      <x:c r="F63" s="41" t="str">
        <x:v>562212</x:v>
      </x:c>
      <x:c r="G63" s="41" t="str">
        <x:v>Haverhill</x:v>
      </x:c>
      <x:c r="H63" s="41" t="str">
        <x:v>MA</x:v>
      </x:c>
      <x:c r="I63" s="41" t="str">
        <x:v>01835</x:v>
      </x:c>
      <x:c r="J63" s="42" t="n">
        <x:v>47774.75</x:v>
      </x:c>
      <x:c r="K63" s="43" t="str">
        <x:f>VLOOKUP(J63,'Rules and Assumptions'!$H$5:$J$9,3,TRUE)</x:f>
        <x:v>Small Reporting Load</x:v>
      </x:c>
      <x:c r="L63" s="47" t="str">
        <x:v>Director of Operations</x:v>
      </x:c>
      <x:c r="M63" s="47" t="str">
        <x:v>Facilities Manager</x:v>
      </x:c>
      <x:c r="N63" s="47" t="str">
        <x:v>Role identified; person not yet verified</x:v>
      </x:c>
      <x:c r="O63" s="47" t="str">
        <x:v>Waste and Environmental</x:v>
      </x:c>
      <x:c r="P63" s="47" t="str">
        <x:v>Sales Rep A - Massachusetts</x:v>
      </x:c>
      <x:c r="Q63" s="47" t="str">
        <x:v>https://www.epa.gov/ghgreporting/data-sets</x:v>
      </x:c>
      <x:c r="R63" s="44" t="n">
        <x:v>1005213</x:v>
      </x:c>
      <x:c r="S63" s="45" t="n">
        <x:f>VLOOKUP(H63,'Rules and Assumptions'!$A$5:$B$10,2,FALSE)</x:f>
        <x:v>20</x:v>
      </x:c>
      <x:c r="T63" s="45" t="n">
        <x:f>VLOOKUP(E63,'Rules and Assumptions'!$D$5:$F$15,2,FALSE)</x:f>
        <x:v>20</x:v>
      </x:c>
      <x:c r="U63" s="45" t="n">
        <x:f>VLOOKUP(J63,'Rules and Assumptions'!$H$5:$J$9,2,TRUE)</x:f>
        <x:v>10</x:v>
      </x:c>
      <x:c r="V63" s="45" t="n">
        <x:f>IF(D63&lt;&gt;"",4,0)+IF(F63&lt;&gt;"",2,0)+IF(G63&lt;&gt;"",1,0)+IF(L63&lt;&gt;"",2,0)+IF(R63&lt;&gt;"",1,0)</x:f>
        <x:v>10</x:v>
      </x:c>
      <x:c r="W63" s="45" t="n">
        <x:f>VLOOKUP(E63,'Rules and Assumptions'!$D$5:$F$15,3,FALSE)</x:f>
        <x:v>9</x:v>
      </x:c>
      <x:c r="X63" s="45" t="n">
        <x:f>SUM(S63:W63)</x:f>
        <x:v>69</x:v>
      </x:c>
      <x:c r="Y63" s="45" t="n">
        <x:f>RANK.EQ(X63,$X$5:$X$164,0)+COUNTIF($X$5:X63,X63)-1</x:f>
        <x:v>59</x:v>
      </x:c>
      <x:c r="Z63" s="43" t="str">
        <x:f>IF(Y63&lt;='Rules and Assumptions'!$M$5,"High",IF(Y63&lt;='Rules and Assumptions'!$M$6,"Medium","Low"))</x:f>
        <x:v>Medium</x:v>
      </x:c>
      <x:c r="AA63" s="43" t="str">
        <x:f>LOWER(TRIM(B63))</x:f>
        <x:v>ghgrp-1005213</x:v>
      </x:c>
      <x:c r="AB63" s="43" t="str">
        <x:f>IF(COUNTIF($AA$5:$AA$164,AA63)&gt;1,"Review","Unique")</x:f>
        <x:v>Unique</x:v>
      </x:c>
      <x:c r="AC63" s="47" t="str">
        <x:v>Waste-sector facility; qualify electricity, natural-gas, and multi-site purchasing needs.</x:v>
      </x:c>
      <x:c r="AD63" s="46" t="n">
        <x:v>45520</x:v>
      </x:c>
    </x:row>
    <x:row r="64">
      <x:c r="A64" s="41" t="str">
        <x:v>NE-060</x:v>
      </x:c>
      <x:c r="B64" s="41" t="str">
        <x:v>GHGRP-1005715</x:v>
      </x:c>
      <x:c r="C64" s="47" t="str">
        <x:v>Carver-Marion-Wareham Landfill - Carver, MA</x:v>
      </x:c>
      <x:c r="D64" s="47" t="str">
        <x:v>COVANTA HOLDING CORP</x:v>
      </x:c>
      <x:c r="E64" s="47" t="str">
        <x:v>Waste</x:v>
      </x:c>
      <x:c r="F64" s="41" t="str">
        <x:v>562212</x:v>
      </x:c>
      <x:c r="G64" s="41" t="str">
        <x:v>Carver</x:v>
      </x:c>
      <x:c r="H64" s="41" t="str">
        <x:v>MA</x:v>
      </x:c>
      <x:c r="I64" s="41" t="str">
        <x:v>02330</x:v>
      </x:c>
      <x:c r="J64" s="42" t="n">
        <x:v>39734.65</x:v>
      </x:c>
      <x:c r="K64" s="43" t="str">
        <x:f>VLOOKUP(J64,'Rules and Assumptions'!$H$5:$J$9,3,TRUE)</x:f>
        <x:v>Small Reporting Load</x:v>
      </x:c>
      <x:c r="L64" s="47" t="str">
        <x:v>Director of Operations</x:v>
      </x:c>
      <x:c r="M64" s="47" t="str">
        <x:v>Facilities Manager</x:v>
      </x:c>
      <x:c r="N64" s="47" t="str">
        <x:v>Role identified; person not yet verified</x:v>
      </x:c>
      <x:c r="O64" s="47" t="str">
        <x:v>Waste and Environmental</x:v>
      </x:c>
      <x:c r="P64" s="47" t="str">
        <x:v>Sales Rep A - Massachusetts</x:v>
      </x:c>
      <x:c r="Q64" s="47" t="str">
        <x:v>https://www.epa.gov/ghgreporting/data-sets</x:v>
      </x:c>
      <x:c r="R64" s="44" t="n">
        <x:v>1005715</x:v>
      </x:c>
      <x:c r="S64" s="45" t="n">
        <x:f>VLOOKUP(H64,'Rules and Assumptions'!$A$5:$B$10,2,FALSE)</x:f>
        <x:v>20</x:v>
      </x:c>
      <x:c r="T64" s="45" t="n">
        <x:f>VLOOKUP(E64,'Rules and Assumptions'!$D$5:$F$15,2,FALSE)</x:f>
        <x:v>20</x:v>
      </x:c>
      <x:c r="U64" s="45" t="n">
        <x:f>VLOOKUP(J64,'Rules and Assumptions'!$H$5:$J$9,2,TRUE)</x:f>
        <x:v>10</x:v>
      </x:c>
      <x:c r="V64" s="45" t="n">
        <x:f>IF(D64&lt;&gt;"",4,0)+IF(F64&lt;&gt;"",2,0)+IF(G64&lt;&gt;"",1,0)+IF(L64&lt;&gt;"",2,0)+IF(R64&lt;&gt;"",1,0)</x:f>
        <x:v>10</x:v>
      </x:c>
      <x:c r="W64" s="45" t="n">
        <x:f>VLOOKUP(E64,'Rules and Assumptions'!$D$5:$F$15,3,FALSE)</x:f>
        <x:v>9</x:v>
      </x:c>
      <x:c r="X64" s="45" t="n">
        <x:f>SUM(S64:W64)</x:f>
        <x:v>69</x:v>
      </x:c>
      <x:c r="Y64" s="45" t="n">
        <x:f>RANK.EQ(X64,$X$5:$X$164,0)+COUNTIF($X$5:X64,X64)-1</x:f>
        <x:v>60</x:v>
      </x:c>
      <x:c r="Z64" s="43" t="str">
        <x:f>IF(Y64&lt;='Rules and Assumptions'!$M$5,"High",IF(Y64&lt;='Rules and Assumptions'!$M$6,"Medium","Low"))</x:f>
        <x:v>Medium</x:v>
      </x:c>
      <x:c r="AA64" s="43" t="str">
        <x:f>LOWER(TRIM(B64))</x:f>
        <x:v>ghgrp-1005715</x:v>
      </x:c>
      <x:c r="AB64" s="43" t="str">
        <x:f>IF(COUNTIF($AA$5:$AA$164,AA64)&gt;1,"Review","Unique")</x:f>
        <x:v>Unique</x:v>
      </x:c>
      <x:c r="AC64" s="47" t="str">
        <x:v>Waste-sector facility; qualify electricity, natural-gas, and multi-site purchasing needs.</x:v>
      </x:c>
      <x:c r="AD64" s="46" t="n">
        <x:v>45520</x:v>
      </x:c>
    </x:row>
    <x:row r="65">
      <x:c r="A65" s="41" t="str">
        <x:v>NE-061</x:v>
      </x:c>
      <x:c r="B65" s="41" t="str">
        <x:v>GHGRP-1007753</x:v>
      </x:c>
      <x:c r="C65" s="47" t="str">
        <x:v>FITCHBURG WESTMINSTER LANDFILL RECYCLING CENTER - Westminster, MA</x:v>
      </x:c>
      <x:c r="D65" s="47" t="str">
        <x:v>WASTE MANAGEMENT INC</x:v>
      </x:c>
      <x:c r="E65" s="47" t="str">
        <x:v>Waste</x:v>
      </x:c>
      <x:c r="F65" s="41" t="str">
        <x:v>562212</x:v>
      </x:c>
      <x:c r="G65" s="41" t="str">
        <x:v>Westminster</x:v>
      </x:c>
      <x:c r="H65" s="41" t="str">
        <x:v>MA</x:v>
      </x:c>
      <x:c r="I65" s="41" t="str">
        <x:v>01473</x:v>
      </x:c>
      <x:c r="J65" s="42" t="n">
        <x:v>30720.402</x:v>
      </x:c>
      <x:c r="K65" s="43" t="str">
        <x:f>VLOOKUP(J65,'Rules and Assumptions'!$H$5:$J$9,3,TRUE)</x:f>
        <x:v>Small Reporting Load</x:v>
      </x:c>
      <x:c r="L65" s="47" t="str">
        <x:v>Director of Operations</x:v>
      </x:c>
      <x:c r="M65" s="47" t="str">
        <x:v>Facilities Manager</x:v>
      </x:c>
      <x:c r="N65" s="47" t="str">
        <x:v>Role identified; person not yet verified</x:v>
      </x:c>
      <x:c r="O65" s="47" t="str">
        <x:v>Waste and Environmental</x:v>
      </x:c>
      <x:c r="P65" s="47" t="str">
        <x:v>Sales Rep A - Massachusetts</x:v>
      </x:c>
      <x:c r="Q65" s="47" t="str">
        <x:v>https://www.epa.gov/ghgreporting/data-sets</x:v>
      </x:c>
      <x:c r="R65" s="44" t="n">
        <x:v>1007753</x:v>
      </x:c>
      <x:c r="S65" s="45" t="n">
        <x:f>VLOOKUP(H65,'Rules and Assumptions'!$A$5:$B$10,2,FALSE)</x:f>
        <x:v>20</x:v>
      </x:c>
      <x:c r="T65" s="45" t="n">
        <x:f>VLOOKUP(E65,'Rules and Assumptions'!$D$5:$F$15,2,FALSE)</x:f>
        <x:v>20</x:v>
      </x:c>
      <x:c r="U65" s="45" t="n">
        <x:f>VLOOKUP(J65,'Rules and Assumptions'!$H$5:$J$9,2,TRUE)</x:f>
        <x:v>10</x:v>
      </x:c>
      <x:c r="V65" s="45" t="n">
        <x:f>IF(D65&lt;&gt;"",4,0)+IF(F65&lt;&gt;"",2,0)+IF(G65&lt;&gt;"",1,0)+IF(L65&lt;&gt;"",2,0)+IF(R65&lt;&gt;"",1,0)</x:f>
        <x:v>10</x:v>
      </x:c>
      <x:c r="W65" s="45" t="n">
        <x:f>VLOOKUP(E65,'Rules and Assumptions'!$D$5:$F$15,3,FALSE)</x:f>
        <x:v>9</x:v>
      </x:c>
      <x:c r="X65" s="45" t="n">
        <x:f>SUM(S65:W65)</x:f>
        <x:v>69</x:v>
      </x:c>
      <x:c r="Y65" s="45" t="n">
        <x:f>RANK.EQ(X65,$X$5:$X$164,0)+COUNTIF($X$5:X65,X65)-1</x:f>
        <x:v>61</x:v>
      </x:c>
      <x:c r="Z65" s="43" t="str">
        <x:f>IF(Y65&lt;='Rules and Assumptions'!$M$5,"High",IF(Y65&lt;='Rules and Assumptions'!$M$6,"Medium","Low"))</x:f>
        <x:v>Medium</x:v>
      </x:c>
      <x:c r="AA65" s="43" t="str">
        <x:f>LOWER(TRIM(B65))</x:f>
        <x:v>ghgrp-1007753</x:v>
      </x:c>
      <x:c r="AB65" s="43" t="str">
        <x:f>IF(COUNTIF($AA$5:$AA$164,AA65)&gt;1,"Review","Unique")</x:f>
        <x:v>Unique</x:v>
      </x:c>
      <x:c r="AC65" s="47" t="str">
        <x:v>Waste-sector facility; qualify electricity, natural-gas, and multi-site purchasing needs.</x:v>
      </x:c>
      <x:c r="AD65" s="46" t="n">
        <x:v>45520</x:v>
      </x:c>
    </x:row>
    <x:row r="66">
      <x:c r="A66" s="41" t="str">
        <x:v>NE-062</x:v>
      </x:c>
      <x:c r="B66" s="41" t="str">
        <x:v>GHGRP-1002593</x:v>
      </x:c>
      <x:c r="C66" s="47" t="str">
        <x:v>NORTHAMPTON LANDFILL - Northampton, MA</x:v>
      </x:c>
      <x:c r="D66" s="47" t="str">
        <x:v>CITY OF NORTHAMPTON MASSACHUSETTS</x:v>
      </x:c>
      <x:c r="E66" s="47" t="str">
        <x:v>Waste</x:v>
      </x:c>
      <x:c r="F66" s="41" t="str">
        <x:v>562212</x:v>
      </x:c>
      <x:c r="G66" s="41" t="str">
        <x:v>Northampton</x:v>
      </x:c>
      <x:c r="H66" s="41" t="str">
        <x:v>MA</x:v>
      </x:c>
      <x:c r="I66" s="41" t="str">
        <x:v>01060</x:v>
      </x:c>
      <x:c r="J66" s="42" t="n">
        <x:v>10523</x:v>
      </x:c>
      <x:c r="K66" s="43" t="str">
        <x:f>VLOOKUP(J66,'Rules and Assumptions'!$H$5:$J$9,3,TRUE)</x:f>
        <x:v>Small Reporting Load</x:v>
      </x:c>
      <x:c r="L66" s="47" t="str">
        <x:v>Director of Operations</x:v>
      </x:c>
      <x:c r="M66" s="47" t="str">
        <x:v>Facilities Manager</x:v>
      </x:c>
      <x:c r="N66" s="47" t="str">
        <x:v>Role identified; person not yet verified</x:v>
      </x:c>
      <x:c r="O66" s="47" t="str">
        <x:v>Waste and Environmental</x:v>
      </x:c>
      <x:c r="P66" s="47" t="str">
        <x:v>Sales Rep A - Massachusetts</x:v>
      </x:c>
      <x:c r="Q66" s="47" t="str">
        <x:v>https://www.epa.gov/ghgreporting/data-sets</x:v>
      </x:c>
      <x:c r="R66" s="44" t="n">
        <x:v>1002593</x:v>
      </x:c>
      <x:c r="S66" s="45" t="n">
        <x:f>VLOOKUP(H66,'Rules and Assumptions'!$A$5:$B$10,2,FALSE)</x:f>
        <x:v>20</x:v>
      </x:c>
      <x:c r="T66" s="45" t="n">
        <x:f>VLOOKUP(E66,'Rules and Assumptions'!$D$5:$F$15,2,FALSE)</x:f>
        <x:v>20</x:v>
      </x:c>
      <x:c r="U66" s="45" t="n">
        <x:f>VLOOKUP(J66,'Rules and Assumptions'!$H$5:$J$9,2,TRUE)</x:f>
        <x:v>10</x:v>
      </x:c>
      <x:c r="V66" s="45" t="n">
        <x:f>IF(D66&lt;&gt;"",4,0)+IF(F66&lt;&gt;"",2,0)+IF(G66&lt;&gt;"",1,0)+IF(L66&lt;&gt;"",2,0)+IF(R66&lt;&gt;"",1,0)</x:f>
        <x:v>10</x:v>
      </x:c>
      <x:c r="W66" s="45" t="n">
        <x:f>VLOOKUP(E66,'Rules and Assumptions'!$D$5:$F$15,3,FALSE)</x:f>
        <x:v>9</x:v>
      </x:c>
      <x:c r="X66" s="45" t="n">
        <x:f>SUM(S66:W66)</x:f>
        <x:v>69</x:v>
      </x:c>
      <x:c r="Y66" s="45" t="n">
        <x:f>RANK.EQ(X66,$X$5:$X$164,0)+COUNTIF($X$5:X66,X66)-1</x:f>
        <x:v>62</x:v>
      </x:c>
      <x:c r="Z66" s="43" t="str">
        <x:f>IF(Y66&lt;='Rules and Assumptions'!$M$5,"High",IF(Y66&lt;='Rules and Assumptions'!$M$6,"Medium","Low"))</x:f>
        <x:v>Medium</x:v>
      </x:c>
      <x:c r="AA66" s="43" t="str">
        <x:f>LOWER(TRIM(B66))</x:f>
        <x:v>ghgrp-1002593</x:v>
      </x:c>
      <x:c r="AB66" s="43" t="str">
        <x:f>IF(COUNTIF($AA$5:$AA$164,AA66)&gt;1,"Review","Unique")</x:f>
        <x:v>Unique</x:v>
      </x:c>
      <x:c r="AC66" s="47" t="str">
        <x:v>Waste-sector facility; qualify electricity, natural-gas, and multi-site purchasing needs.</x:v>
      </x:c>
      <x:c r="AD66" s="46" t="n">
        <x:v>45520</x:v>
      </x:c>
    </x:row>
    <x:row r="67">
      <x:c r="A67" s="41" t="str">
        <x:v>NE-063</x:v>
      </x:c>
      <x:c r="B67" s="41" t="str">
        <x:v>GHGRP-1007669</x:v>
      </x:c>
      <x:c r="C67" s="47" t="str">
        <x:v>CHICOPEE SANITARY LANDFILL - Chicopee, MA</x:v>
      </x:c>
      <x:c r="D67" s="47" t="str">
        <x:v>WASTE MANAGEMENT INC</x:v>
      </x:c>
      <x:c r="E67" s="47" t="str">
        <x:v>Waste</x:v>
      </x:c>
      <x:c r="F67" s="41" t="str">
        <x:v>562212</x:v>
      </x:c>
      <x:c r="G67" s="41" t="str">
        <x:v>Chicopee</x:v>
      </x:c>
      <x:c r="H67" s="41" t="str">
        <x:v>MA</x:v>
      </x:c>
      <x:c r="I67" s="41" t="str">
        <x:v>01020</x:v>
      </x:c>
      <x:c r="J67" s="42" t="n">
        <x:v>5416.598</x:v>
      </x:c>
      <x:c r="K67" s="43" t="str">
        <x:f>VLOOKUP(J67,'Rules and Assumptions'!$H$5:$J$9,3,TRUE)</x:f>
        <x:v>Small Reporting Load</x:v>
      </x:c>
      <x:c r="L67" s="47" t="str">
        <x:v>Director of Operations</x:v>
      </x:c>
      <x:c r="M67" s="47" t="str">
        <x:v>Facilities Manager</x:v>
      </x:c>
      <x:c r="N67" s="47" t="str">
        <x:v>Role identified; person not yet verified</x:v>
      </x:c>
      <x:c r="O67" s="47" t="str">
        <x:v>Waste and Environmental</x:v>
      </x:c>
      <x:c r="P67" s="47" t="str">
        <x:v>Sales Rep A - Massachusetts</x:v>
      </x:c>
      <x:c r="Q67" s="47" t="str">
        <x:v>https://www.epa.gov/ghgreporting/data-sets</x:v>
      </x:c>
      <x:c r="R67" s="44" t="n">
        <x:v>1007669</x:v>
      </x:c>
      <x:c r="S67" s="45" t="n">
        <x:f>VLOOKUP(H67,'Rules and Assumptions'!$A$5:$B$10,2,FALSE)</x:f>
        <x:v>20</x:v>
      </x:c>
      <x:c r="T67" s="45" t="n">
        <x:f>VLOOKUP(E67,'Rules and Assumptions'!$D$5:$F$15,2,FALSE)</x:f>
        <x:v>20</x:v>
      </x:c>
      <x:c r="U67" s="45" t="n">
        <x:f>VLOOKUP(J67,'Rules and Assumptions'!$H$5:$J$9,2,TRUE)</x:f>
        <x:v>10</x:v>
      </x:c>
      <x:c r="V67" s="45" t="n">
        <x:f>IF(D67&lt;&gt;"",4,0)+IF(F67&lt;&gt;"",2,0)+IF(G67&lt;&gt;"",1,0)+IF(L67&lt;&gt;"",2,0)+IF(R67&lt;&gt;"",1,0)</x:f>
        <x:v>10</x:v>
      </x:c>
      <x:c r="W67" s="45" t="n">
        <x:f>VLOOKUP(E67,'Rules and Assumptions'!$D$5:$F$15,3,FALSE)</x:f>
        <x:v>9</x:v>
      </x:c>
      <x:c r="X67" s="45" t="n">
        <x:f>SUM(S67:W67)</x:f>
        <x:v>69</x:v>
      </x:c>
      <x:c r="Y67" s="45" t="n">
        <x:f>RANK.EQ(X67,$X$5:$X$164,0)+COUNTIF($X$5:X67,X67)-1</x:f>
        <x:v>63</x:v>
      </x:c>
      <x:c r="Z67" s="43" t="str">
        <x:f>IF(Y67&lt;='Rules and Assumptions'!$M$5,"High",IF(Y67&lt;='Rules and Assumptions'!$M$6,"Medium","Low"))</x:f>
        <x:v>Medium</x:v>
      </x:c>
      <x:c r="AA67" s="43" t="str">
        <x:f>LOWER(TRIM(B67))</x:f>
        <x:v>ghgrp-1007669</x:v>
      </x:c>
      <x:c r="AB67" s="43" t="str">
        <x:f>IF(COUNTIF($AA$5:$AA$164,AA67)&gt;1,"Review","Unique")</x:f>
        <x:v>Unique</x:v>
      </x:c>
      <x:c r="AC67" s="47" t="str">
        <x:v>Waste-sector facility; qualify electricity, natural-gas, and multi-site purchasing needs.</x:v>
      </x:c>
      <x:c r="AD67" s="46" t="n">
        <x:v>45520</x:v>
      </x:c>
    </x:row>
    <x:row r="68">
      <x:c r="A68" s="41" t="str">
        <x:v>NE-064</x:v>
      </x:c>
      <x:c r="B68" s="41" t="str">
        <x:v>GHGRP-1005254</x:v>
      </x:c>
      <x:c r="C68" s="47" t="str">
        <x:v>SOUTHBRIDGE RECYCLING &amp; DISPOSAL PARK - Southbridge, MA</x:v>
      </x:c>
      <x:c r="D68" s="47" t="str">
        <x:v>CASELLA WASTE SYSTEMS INC</x:v>
      </x:c>
      <x:c r="E68" s="47" t="str">
        <x:v>Waste</x:v>
      </x:c>
      <x:c r="F68" s="41" t="str">
        <x:v>562212</x:v>
      </x:c>
      <x:c r="G68" s="41" t="str">
        <x:v>Southbridge</x:v>
      </x:c>
      <x:c r="H68" s="41" t="str">
        <x:v>MA</x:v>
      </x:c>
      <x:c r="I68" s="41" t="str">
        <x:v>01550</x:v>
      </x:c>
      <x:c r="J68" s="42" t="n">
        <x:v>4475.652</x:v>
      </x:c>
      <x:c r="K68" s="43" t="str">
        <x:f>VLOOKUP(J68,'Rules and Assumptions'!$H$5:$J$9,3,TRUE)</x:f>
        <x:v>Small Reporting Load</x:v>
      </x:c>
      <x:c r="L68" s="47" t="str">
        <x:v>Director of Operations</x:v>
      </x:c>
      <x:c r="M68" s="47" t="str">
        <x:v>Facilities Manager</x:v>
      </x:c>
      <x:c r="N68" s="47" t="str">
        <x:v>Role identified; person not yet verified</x:v>
      </x:c>
      <x:c r="O68" s="47" t="str">
        <x:v>Waste and Environmental</x:v>
      </x:c>
      <x:c r="P68" s="47" t="str">
        <x:v>Sales Rep A - Massachusetts</x:v>
      </x:c>
      <x:c r="Q68" s="47" t="str">
        <x:v>https://www.epa.gov/ghgreporting/data-sets</x:v>
      </x:c>
      <x:c r="R68" s="44" t="n">
        <x:v>1005254</x:v>
      </x:c>
      <x:c r="S68" s="45" t="n">
        <x:f>VLOOKUP(H68,'Rules and Assumptions'!$A$5:$B$10,2,FALSE)</x:f>
        <x:v>20</x:v>
      </x:c>
      <x:c r="T68" s="45" t="n">
        <x:f>VLOOKUP(E68,'Rules and Assumptions'!$D$5:$F$15,2,FALSE)</x:f>
        <x:v>20</x:v>
      </x:c>
      <x:c r="U68" s="45" t="n">
        <x:f>VLOOKUP(J68,'Rules and Assumptions'!$H$5:$J$9,2,TRUE)</x:f>
        <x:v>10</x:v>
      </x:c>
      <x:c r="V68" s="45" t="n">
        <x:f>IF(D68&lt;&gt;"",4,0)+IF(F68&lt;&gt;"",2,0)+IF(G68&lt;&gt;"",1,0)+IF(L68&lt;&gt;"",2,0)+IF(R68&lt;&gt;"",1,0)</x:f>
        <x:v>10</x:v>
      </x:c>
      <x:c r="W68" s="45" t="n">
        <x:f>VLOOKUP(E68,'Rules and Assumptions'!$D$5:$F$15,3,FALSE)</x:f>
        <x:v>9</x:v>
      </x:c>
      <x:c r="X68" s="45" t="n">
        <x:f>SUM(S68:W68)</x:f>
        <x:v>69</x:v>
      </x:c>
      <x:c r="Y68" s="45" t="n">
        <x:f>RANK.EQ(X68,$X$5:$X$164,0)+COUNTIF($X$5:X68,X68)-1</x:f>
        <x:v>64</x:v>
      </x:c>
      <x:c r="Z68" s="43" t="str">
        <x:f>IF(Y68&lt;='Rules and Assumptions'!$M$5,"High",IF(Y68&lt;='Rules and Assumptions'!$M$6,"Medium","Low"))</x:f>
        <x:v>Medium</x:v>
      </x:c>
      <x:c r="AA68" s="43" t="str">
        <x:f>LOWER(TRIM(B68))</x:f>
        <x:v>ghgrp-1005254</x:v>
      </x:c>
      <x:c r="AB68" s="43" t="str">
        <x:f>IF(COUNTIF($AA$5:$AA$164,AA68)&gt;1,"Review","Unique")</x:f>
        <x:v>Unique</x:v>
      </x:c>
      <x:c r="AC68" s="47" t="str">
        <x:v>Waste-sector facility; qualify electricity, natural-gas, and multi-site purchasing needs.</x:v>
      </x:c>
      <x:c r="AD68" s="46" t="n">
        <x:v>45520</x:v>
      </x:c>
    </x:row>
    <x:row r="69">
      <x:c r="A69" s="41" t="str">
        <x:v>NE-065</x:v>
      </x:c>
      <x:c r="B69" s="41" t="str">
        <x:v>GHGRP-1010391</x:v>
      </x:c>
      <x:c r="C69" s="47" t="str">
        <x:v>Middleborough Landfill - Middleborough, MA</x:v>
      </x:c>
      <x:c r="D69" s="47" t="str">
        <x:v>WASTE MANAGEMENT INC</x:v>
      </x:c>
      <x:c r="E69" s="47" t="str">
        <x:v>Waste</x:v>
      </x:c>
      <x:c r="F69" s="41" t="str">
        <x:v>562212</x:v>
      </x:c>
      <x:c r="G69" s="41" t="str">
        <x:v>Middleborough</x:v>
      </x:c>
      <x:c r="H69" s="41" t="str">
        <x:v>MA</x:v>
      </x:c>
      <x:c r="I69" s="41" t="str">
        <x:v>02346</x:v>
      </x:c>
      <x:c r="J69" s="42" t="n">
        <x:v>3750.75</x:v>
      </x:c>
      <x:c r="K69" s="43" t="str">
        <x:f>VLOOKUP(J69,'Rules and Assumptions'!$H$5:$J$9,3,TRUE)</x:f>
        <x:v>Small Reporting Load</x:v>
      </x:c>
      <x:c r="L69" s="47" t="str">
        <x:v>Director of Operations</x:v>
      </x:c>
      <x:c r="M69" s="47" t="str">
        <x:v>Facilities Manager</x:v>
      </x:c>
      <x:c r="N69" s="47" t="str">
        <x:v>Role identified; person not yet verified</x:v>
      </x:c>
      <x:c r="O69" s="47" t="str">
        <x:v>Waste and Environmental</x:v>
      </x:c>
      <x:c r="P69" s="47" t="str">
        <x:v>Sales Rep A - Massachusetts</x:v>
      </x:c>
      <x:c r="Q69" s="47" t="str">
        <x:v>https://www.epa.gov/ghgreporting/data-sets</x:v>
      </x:c>
      <x:c r="R69" s="44" t="n">
        <x:v>1010391</x:v>
      </x:c>
      <x:c r="S69" s="45" t="n">
        <x:f>VLOOKUP(H69,'Rules and Assumptions'!$A$5:$B$10,2,FALSE)</x:f>
        <x:v>20</x:v>
      </x:c>
      <x:c r="T69" s="45" t="n">
        <x:f>VLOOKUP(E69,'Rules and Assumptions'!$D$5:$F$15,2,FALSE)</x:f>
        <x:v>20</x:v>
      </x:c>
      <x:c r="U69" s="45" t="n">
        <x:f>VLOOKUP(J69,'Rules and Assumptions'!$H$5:$J$9,2,TRUE)</x:f>
        <x:v>10</x:v>
      </x:c>
      <x:c r="V69" s="45" t="n">
        <x:f>IF(D69&lt;&gt;"",4,0)+IF(F69&lt;&gt;"",2,0)+IF(G69&lt;&gt;"",1,0)+IF(L69&lt;&gt;"",2,0)+IF(R69&lt;&gt;"",1,0)</x:f>
        <x:v>10</x:v>
      </x:c>
      <x:c r="W69" s="45" t="n">
        <x:f>VLOOKUP(E69,'Rules and Assumptions'!$D$5:$F$15,3,FALSE)</x:f>
        <x:v>9</x:v>
      </x:c>
      <x:c r="X69" s="45" t="n">
        <x:f>SUM(S69:W69)</x:f>
        <x:v>69</x:v>
      </x:c>
      <x:c r="Y69" s="45" t="n">
        <x:f>RANK.EQ(X69,$X$5:$X$164,0)+COUNTIF($X$5:X69,X69)-1</x:f>
        <x:v>65</x:v>
      </x:c>
      <x:c r="Z69" s="43" t="str">
        <x:f>IF(Y69&lt;='Rules and Assumptions'!$M$5,"High",IF(Y69&lt;='Rules and Assumptions'!$M$6,"Medium","Low"))</x:f>
        <x:v>Medium</x:v>
      </x:c>
      <x:c r="AA69" s="43" t="str">
        <x:f>LOWER(TRIM(B69))</x:f>
        <x:v>ghgrp-1010391</x:v>
      </x:c>
      <x:c r="AB69" s="43" t="str">
        <x:f>IF(COUNTIF($AA$5:$AA$164,AA69)&gt;1,"Review","Unique")</x:f>
        <x:v>Unique</x:v>
      </x:c>
      <x:c r="AC69" s="47" t="str">
        <x:v>Waste-sector facility; qualify electricity, natural-gas, and multi-site purchasing needs.</x:v>
      </x:c>
      <x:c r="AD69" s="46" t="n">
        <x:v>45520</x:v>
      </x:c>
    </x:row>
    <x:row r="70">
      <x:c r="A70" s="41" t="str">
        <x:v>NE-066</x:v>
      </x:c>
      <x:c r="B70" s="41" t="str">
        <x:v>GHGRP-1003587</x:v>
      </x:c>
      <x:c r="C70" s="47" t="str">
        <x:v>MARTONE LANDFILL &amp; GAS GENERATING FACILITY - Barre, MA</x:v>
      </x:c>
      <x:c r="D70" s="47" t="str">
        <x:v>WASTE MANAGEMENT INC</x:v>
      </x:c>
      <x:c r="E70" s="47" t="str">
        <x:v>Waste</x:v>
      </x:c>
      <x:c r="F70" s="41" t="str">
        <x:v>562212</x:v>
      </x:c>
      <x:c r="G70" s="41" t="str">
        <x:v>Barre</x:v>
      </x:c>
      <x:c r="H70" s="41" t="str">
        <x:v>MA</x:v>
      </x:c>
      <x:c r="I70" s="41" t="str">
        <x:v>01005</x:v>
      </x:c>
      <x:c r="J70" s="42" t="n">
        <x:v>2756.25</x:v>
      </x:c>
      <x:c r="K70" s="43" t="str">
        <x:f>VLOOKUP(J70,'Rules and Assumptions'!$H$5:$J$9,3,TRUE)</x:f>
        <x:v>Small Reporting Load</x:v>
      </x:c>
      <x:c r="L70" s="47" t="str">
        <x:v>Director of Operations</x:v>
      </x:c>
      <x:c r="M70" s="47" t="str">
        <x:v>Facilities Manager</x:v>
      </x:c>
      <x:c r="N70" s="47" t="str">
        <x:v>Role identified; person not yet verified</x:v>
      </x:c>
      <x:c r="O70" s="47" t="str">
        <x:v>Waste and Environmental</x:v>
      </x:c>
      <x:c r="P70" s="47" t="str">
        <x:v>Sales Rep A - Massachusetts</x:v>
      </x:c>
      <x:c r="Q70" s="47" t="str">
        <x:v>https://www.epa.gov/ghgreporting/data-sets</x:v>
      </x:c>
      <x:c r="R70" s="44" t="n">
        <x:v>1003587</x:v>
      </x:c>
      <x:c r="S70" s="45" t="n">
        <x:f>VLOOKUP(H70,'Rules and Assumptions'!$A$5:$B$10,2,FALSE)</x:f>
        <x:v>20</x:v>
      </x:c>
      <x:c r="T70" s="45" t="n">
        <x:f>VLOOKUP(E70,'Rules and Assumptions'!$D$5:$F$15,2,FALSE)</x:f>
        <x:v>20</x:v>
      </x:c>
      <x:c r="U70" s="45" t="n">
        <x:f>VLOOKUP(J70,'Rules and Assumptions'!$H$5:$J$9,2,TRUE)</x:f>
        <x:v>10</x:v>
      </x:c>
      <x:c r="V70" s="45" t="n">
        <x:f>IF(D70&lt;&gt;"",4,0)+IF(F70&lt;&gt;"",2,0)+IF(G70&lt;&gt;"",1,0)+IF(L70&lt;&gt;"",2,0)+IF(R70&lt;&gt;"",1,0)</x:f>
        <x:v>10</x:v>
      </x:c>
      <x:c r="W70" s="45" t="n">
        <x:f>VLOOKUP(E70,'Rules and Assumptions'!$D$5:$F$15,3,FALSE)</x:f>
        <x:v>9</x:v>
      </x:c>
      <x:c r="X70" s="45" t="n">
        <x:f>SUM(S70:W70)</x:f>
        <x:v>69</x:v>
      </x:c>
      <x:c r="Y70" s="45" t="n">
        <x:f>RANK.EQ(X70,$X$5:$X$164,0)+COUNTIF($X$5:X70,X70)-1</x:f>
        <x:v>66</x:v>
      </x:c>
      <x:c r="Z70" s="43" t="str">
        <x:f>IF(Y70&lt;='Rules and Assumptions'!$M$5,"High",IF(Y70&lt;='Rules and Assumptions'!$M$6,"Medium","Low"))</x:f>
        <x:v>Medium</x:v>
      </x:c>
      <x:c r="AA70" s="43" t="str">
        <x:f>LOWER(TRIM(B70))</x:f>
        <x:v>ghgrp-1003587</x:v>
      </x:c>
      <x:c r="AB70" s="43" t="str">
        <x:f>IF(COUNTIF($AA$5:$AA$164,AA70)&gt;1,"Review","Unique")</x:f>
        <x:v>Unique</x:v>
      </x:c>
      <x:c r="AC70" s="47" t="str">
        <x:v>Waste-sector facility; qualify electricity, natural-gas, and multi-site purchasing needs.</x:v>
      </x:c>
      <x:c r="AD70" s="46" t="n">
        <x:v>45520</x:v>
      </x:c>
    </x:row>
    <x:row r="71">
      <x:c r="A71" s="41" t="str">
        <x:v>NE-067</x:v>
      </x:c>
      <x:c r="B71" s="41" t="str">
        <x:v>GHGRP-1003532</x:v>
      </x:c>
      <x:c r="C71" s="47" t="str">
        <x:v>TAUNTON SANITARY LANDFILL - Taunton, MA</x:v>
      </x:c>
      <x:c r="D71" s="47" t="str">
        <x:v>WASTE MANAGEMENT INC</x:v>
      </x:c>
      <x:c r="E71" s="47" t="str">
        <x:v>Waste</x:v>
      </x:c>
      <x:c r="F71" s="41" t="str">
        <x:v>562212</x:v>
      </x:c>
      <x:c r="G71" s="41" t="str">
        <x:v>Taunton</x:v>
      </x:c>
      <x:c r="H71" s="41" t="str">
        <x:v>MA</x:v>
      </x:c>
      <x:c r="I71" s="41" t="str">
        <x:v>02780</x:v>
      </x:c>
      <x:c r="J71" s="42" t="n">
        <x:v>1909.5</x:v>
      </x:c>
      <x:c r="K71" s="43" t="str">
        <x:f>VLOOKUP(J71,'Rules and Assumptions'!$H$5:$J$9,3,TRUE)</x:f>
        <x:v>Small Reporting Load</x:v>
      </x:c>
      <x:c r="L71" s="47" t="str">
        <x:v>Director of Operations</x:v>
      </x:c>
      <x:c r="M71" s="47" t="str">
        <x:v>Facilities Manager</x:v>
      </x:c>
      <x:c r="N71" s="47" t="str">
        <x:v>Role identified; person not yet verified</x:v>
      </x:c>
      <x:c r="O71" s="47" t="str">
        <x:v>Waste and Environmental</x:v>
      </x:c>
      <x:c r="P71" s="47" t="str">
        <x:v>Sales Rep A - Massachusetts</x:v>
      </x:c>
      <x:c r="Q71" s="47" t="str">
        <x:v>https://www.epa.gov/ghgreporting/data-sets</x:v>
      </x:c>
      <x:c r="R71" s="44" t="n">
        <x:v>1003532</x:v>
      </x:c>
      <x:c r="S71" s="45" t="n">
        <x:f>VLOOKUP(H71,'Rules and Assumptions'!$A$5:$B$10,2,FALSE)</x:f>
        <x:v>20</x:v>
      </x:c>
      <x:c r="T71" s="45" t="n">
        <x:f>VLOOKUP(E71,'Rules and Assumptions'!$D$5:$F$15,2,FALSE)</x:f>
        <x:v>20</x:v>
      </x:c>
      <x:c r="U71" s="45" t="n">
        <x:f>VLOOKUP(J71,'Rules and Assumptions'!$H$5:$J$9,2,TRUE)</x:f>
        <x:v>10</x:v>
      </x:c>
      <x:c r="V71" s="45" t="n">
        <x:f>IF(D71&lt;&gt;"",4,0)+IF(F71&lt;&gt;"",2,0)+IF(G71&lt;&gt;"",1,0)+IF(L71&lt;&gt;"",2,0)+IF(R71&lt;&gt;"",1,0)</x:f>
        <x:v>10</x:v>
      </x:c>
      <x:c r="W71" s="45" t="n">
        <x:f>VLOOKUP(E71,'Rules and Assumptions'!$D$5:$F$15,3,FALSE)</x:f>
        <x:v>9</x:v>
      </x:c>
      <x:c r="X71" s="45" t="n">
        <x:f>SUM(S71:W71)</x:f>
        <x:v>69</x:v>
      </x:c>
      <x:c r="Y71" s="45" t="n">
        <x:f>RANK.EQ(X71,$X$5:$X$164,0)+COUNTIF($X$5:X71,X71)-1</x:f>
        <x:v>67</x:v>
      </x:c>
      <x:c r="Z71" s="43" t="str">
        <x:f>IF(Y71&lt;='Rules and Assumptions'!$M$5,"High",IF(Y71&lt;='Rules and Assumptions'!$M$6,"Medium","Low"))</x:f>
        <x:v>Medium</x:v>
      </x:c>
      <x:c r="AA71" s="43" t="str">
        <x:f>LOWER(TRIM(B71))</x:f>
        <x:v>ghgrp-1003532</x:v>
      </x:c>
      <x:c r="AB71" s="43" t="str">
        <x:f>IF(COUNTIF($AA$5:$AA$164,AA71)&gt;1,"Review","Unique")</x:f>
        <x:v>Unique</x:v>
      </x:c>
      <x:c r="AC71" s="47" t="str">
        <x:v>Waste-sector facility; qualify electricity, natural-gas, and multi-site purchasing needs.</x:v>
      </x:c>
      <x:c r="AD71" s="46" t="n">
        <x:v>45520</x:v>
      </x:c>
    </x:row>
    <x:row r="72">
      <x:c r="A72" s="41" t="str">
        <x:v>NE-068</x:v>
      </x:c>
      <x:c r="B72" s="41" t="str">
        <x:v>GHGRP-1004557</x:v>
      </x:c>
      <x:c r="C72" s="47" t="str">
        <x:v>PLAINVILLE LANDFILL - Plainville, MA</x:v>
      </x:c>
      <x:c r="D72" s="47" t="str">
        <x:v>REPUBLIC SERVICES INC</x:v>
      </x:c>
      <x:c r="E72" s="47" t="str">
        <x:v>Waste</x:v>
      </x:c>
      <x:c r="F72" s="41" t="str">
        <x:v>562212</x:v>
      </x:c>
      <x:c r="G72" s="41" t="str">
        <x:v>Plainville</x:v>
      </x:c>
      <x:c r="H72" s="41" t="str">
        <x:v>MA</x:v>
      </x:c>
      <x:c r="I72" s="41" t="str">
        <x:v>02762</x:v>
      </x:c>
      <x:c r="J72" s="42" t="n">
        <x:v>1660.55</x:v>
      </x:c>
      <x:c r="K72" s="43" t="str">
        <x:f>VLOOKUP(J72,'Rules and Assumptions'!$H$5:$J$9,3,TRUE)</x:f>
        <x:v>Small Reporting Load</x:v>
      </x:c>
      <x:c r="L72" s="47" t="str">
        <x:v>Director of Operations</x:v>
      </x:c>
      <x:c r="M72" s="47" t="str">
        <x:v>Facilities Manager</x:v>
      </x:c>
      <x:c r="N72" s="47" t="str">
        <x:v>Role identified; person not yet verified</x:v>
      </x:c>
      <x:c r="O72" s="47" t="str">
        <x:v>Waste and Environmental</x:v>
      </x:c>
      <x:c r="P72" s="47" t="str">
        <x:v>Sales Rep A - Massachusetts</x:v>
      </x:c>
      <x:c r="Q72" s="47" t="str">
        <x:v>https://www.epa.gov/ghgreporting/data-sets</x:v>
      </x:c>
      <x:c r="R72" s="44" t="n">
        <x:v>1004557</x:v>
      </x:c>
      <x:c r="S72" s="45" t="n">
        <x:f>VLOOKUP(H72,'Rules and Assumptions'!$A$5:$B$10,2,FALSE)</x:f>
        <x:v>20</x:v>
      </x:c>
      <x:c r="T72" s="45" t="n">
        <x:f>VLOOKUP(E72,'Rules and Assumptions'!$D$5:$F$15,2,FALSE)</x:f>
        <x:v>20</x:v>
      </x:c>
      <x:c r="U72" s="45" t="n">
        <x:f>VLOOKUP(J72,'Rules and Assumptions'!$H$5:$J$9,2,TRUE)</x:f>
        <x:v>10</x:v>
      </x:c>
      <x:c r="V72" s="45" t="n">
        <x:f>IF(D72&lt;&gt;"",4,0)+IF(F72&lt;&gt;"",2,0)+IF(G72&lt;&gt;"",1,0)+IF(L72&lt;&gt;"",2,0)+IF(R72&lt;&gt;"",1,0)</x:f>
        <x:v>10</x:v>
      </x:c>
      <x:c r="W72" s="45" t="n">
        <x:f>VLOOKUP(E72,'Rules and Assumptions'!$D$5:$F$15,3,FALSE)</x:f>
        <x:v>9</x:v>
      </x:c>
      <x:c r="X72" s="45" t="n">
        <x:f>SUM(S72:W72)</x:f>
        <x:v>69</x:v>
      </x:c>
      <x:c r="Y72" s="45" t="n">
        <x:f>RANK.EQ(X72,$X$5:$X$164,0)+COUNTIF($X$5:X72,X72)-1</x:f>
        <x:v>68</x:v>
      </x:c>
      <x:c r="Z72" s="43" t="str">
        <x:f>IF(Y72&lt;='Rules and Assumptions'!$M$5,"High",IF(Y72&lt;='Rules and Assumptions'!$M$6,"Medium","Low"))</x:f>
        <x:v>Medium</x:v>
      </x:c>
      <x:c r="AA72" s="43" t="str">
        <x:f>LOWER(TRIM(B72))</x:f>
        <x:v>ghgrp-1004557</x:v>
      </x:c>
      <x:c r="AB72" s="43" t="str">
        <x:f>IF(COUNTIF($AA$5:$AA$164,AA72)&gt;1,"Review","Unique")</x:f>
        <x:v>Unique</x:v>
      </x:c>
      <x:c r="AC72" s="47" t="str">
        <x:v>Waste-sector facility; qualify electricity, natural-gas, and multi-site purchasing needs.</x:v>
      </x:c>
      <x:c r="AD72" s="46" t="n">
        <x:v>45520</x:v>
      </x:c>
    </x:row>
    <x:row r="73">
      <x:c r="A73" s="41" t="str">
        <x:v>NE-069</x:v>
      </x:c>
      <x:c r="B73" s="41" t="str">
        <x:v>GHGRP-1007685</x:v>
      </x:c>
      <x:c r="C73" s="47" t="str">
        <x:v>GRANBY SANITARY LANDFILL - Granby, MA</x:v>
      </x:c>
      <x:c r="D73" s="47" t="str">
        <x:v>WASTE MANAGEMENT INC</x:v>
      </x:c>
      <x:c r="E73" s="47" t="str">
        <x:v>Waste</x:v>
      </x:c>
      <x:c r="F73" s="41" t="str">
        <x:v>562212</x:v>
      </x:c>
      <x:c r="G73" s="41" t="str">
        <x:v>Granby</x:v>
      </x:c>
      <x:c r="H73" s="41" t="str">
        <x:v>MA</x:v>
      </x:c>
      <x:c r="I73" s="41" t="str">
        <x:v>01033</x:v>
      </x:c>
      <x:c r="J73" s="42" t="n">
        <x:v>1137.75</x:v>
      </x:c>
      <x:c r="K73" s="43" t="str">
        <x:f>VLOOKUP(J73,'Rules and Assumptions'!$H$5:$J$9,3,TRUE)</x:f>
        <x:v>Small Reporting Load</x:v>
      </x:c>
      <x:c r="L73" s="47" t="str">
        <x:v>Director of Operations</x:v>
      </x:c>
      <x:c r="M73" s="47" t="str">
        <x:v>Facilities Manager</x:v>
      </x:c>
      <x:c r="N73" s="47" t="str">
        <x:v>Role identified; person not yet verified</x:v>
      </x:c>
      <x:c r="O73" s="47" t="str">
        <x:v>Waste and Environmental</x:v>
      </x:c>
      <x:c r="P73" s="47" t="str">
        <x:v>Sales Rep A - Massachusetts</x:v>
      </x:c>
      <x:c r="Q73" s="47" t="str">
        <x:v>https://www.epa.gov/ghgreporting/data-sets</x:v>
      </x:c>
      <x:c r="R73" s="44" t="n">
        <x:v>1007685</x:v>
      </x:c>
      <x:c r="S73" s="45" t="n">
        <x:f>VLOOKUP(H73,'Rules and Assumptions'!$A$5:$B$10,2,FALSE)</x:f>
        <x:v>20</x:v>
      </x:c>
      <x:c r="T73" s="45" t="n">
        <x:f>VLOOKUP(E73,'Rules and Assumptions'!$D$5:$F$15,2,FALSE)</x:f>
        <x:v>20</x:v>
      </x:c>
      <x:c r="U73" s="45" t="n">
        <x:f>VLOOKUP(J73,'Rules and Assumptions'!$H$5:$J$9,2,TRUE)</x:f>
        <x:v>10</x:v>
      </x:c>
      <x:c r="V73" s="45" t="n">
        <x:f>IF(D73&lt;&gt;"",4,0)+IF(F73&lt;&gt;"",2,0)+IF(G73&lt;&gt;"",1,0)+IF(L73&lt;&gt;"",2,0)+IF(R73&lt;&gt;"",1,0)</x:f>
        <x:v>10</x:v>
      </x:c>
      <x:c r="W73" s="45" t="n">
        <x:f>VLOOKUP(E73,'Rules and Assumptions'!$D$5:$F$15,3,FALSE)</x:f>
        <x:v>9</x:v>
      </x:c>
      <x:c r="X73" s="45" t="n">
        <x:f>SUM(S73:W73)</x:f>
        <x:v>69</x:v>
      </x:c>
      <x:c r="Y73" s="45" t="n">
        <x:f>RANK.EQ(X73,$X$5:$X$164,0)+COUNTIF($X$5:X73,X73)-1</x:f>
        <x:v>69</x:v>
      </x:c>
      <x:c r="Z73" s="43" t="str">
        <x:f>IF(Y73&lt;='Rules and Assumptions'!$M$5,"High",IF(Y73&lt;='Rules and Assumptions'!$M$6,"Medium","Low"))</x:f>
        <x:v>Medium</x:v>
      </x:c>
      <x:c r="AA73" s="43" t="str">
        <x:f>LOWER(TRIM(B73))</x:f>
        <x:v>ghgrp-1007685</x:v>
      </x:c>
      <x:c r="AB73" s="43" t="str">
        <x:f>IF(COUNTIF($AA$5:$AA$164,AA73)&gt;1,"Review","Unique")</x:f>
        <x:v>Unique</x:v>
      </x:c>
      <x:c r="AC73" s="47" t="str">
        <x:v>Waste-sector facility; qualify electricity, natural-gas, and multi-site purchasing needs.</x:v>
      </x:c>
      <x:c r="AD73" s="46" t="n">
        <x:v>45520</x:v>
      </x:c>
    </x:row>
    <x:row r="74">
      <x:c r="A74" s="41" t="str">
        <x:v>NE-070</x:v>
      </x:c>
      <x:c r="B74" s="41" t="str">
        <x:v>GHGRP-1007550</x:v>
      </x:c>
      <x:c r="C74" s="47" t="str">
        <x:v>HALIFAX LANDFILL - Halifax, MA</x:v>
      </x:c>
      <x:c r="D74" s="47" t="str">
        <x:v>REPUBLIC SERVICES INC</x:v>
      </x:c>
      <x:c r="E74" s="47" t="str">
        <x:v>Waste</x:v>
      </x:c>
      <x:c r="F74" s="41" t="str">
        <x:v>562212</x:v>
      </x:c>
      <x:c r="G74" s="41" t="str">
        <x:v>Halifax</x:v>
      </x:c>
      <x:c r="H74" s="41" t="str">
        <x:v>MA</x:v>
      </x:c>
      <x:c r="I74" s="41" t="str">
        <x:v>02338</x:v>
      </x:c>
      <x:c r="J74" s="42" t="n">
        <x:v>865.5</x:v>
      </x:c>
      <x:c r="K74" s="43" t="str">
        <x:f>VLOOKUP(J74,'Rules and Assumptions'!$H$5:$J$9,3,TRUE)</x:f>
        <x:v>Small Reporting Load</x:v>
      </x:c>
      <x:c r="L74" s="47" t="str">
        <x:v>Director of Operations</x:v>
      </x:c>
      <x:c r="M74" s="47" t="str">
        <x:v>Facilities Manager</x:v>
      </x:c>
      <x:c r="N74" s="47" t="str">
        <x:v>Role identified; person not yet verified</x:v>
      </x:c>
      <x:c r="O74" s="47" t="str">
        <x:v>Waste and Environmental</x:v>
      </x:c>
      <x:c r="P74" s="47" t="str">
        <x:v>Sales Rep A - Massachusetts</x:v>
      </x:c>
      <x:c r="Q74" s="47" t="str">
        <x:v>https://www.epa.gov/ghgreporting/data-sets</x:v>
      </x:c>
      <x:c r="R74" s="44" t="n">
        <x:v>1007550</x:v>
      </x:c>
      <x:c r="S74" s="45" t="n">
        <x:f>VLOOKUP(H74,'Rules and Assumptions'!$A$5:$B$10,2,FALSE)</x:f>
        <x:v>20</x:v>
      </x:c>
      <x:c r="T74" s="45" t="n">
        <x:f>VLOOKUP(E74,'Rules and Assumptions'!$D$5:$F$15,2,FALSE)</x:f>
        <x:v>20</x:v>
      </x:c>
      <x:c r="U74" s="45" t="n">
        <x:f>VLOOKUP(J74,'Rules and Assumptions'!$H$5:$J$9,2,TRUE)</x:f>
        <x:v>10</x:v>
      </x:c>
      <x:c r="V74" s="45" t="n">
        <x:f>IF(D74&lt;&gt;"",4,0)+IF(F74&lt;&gt;"",2,0)+IF(G74&lt;&gt;"",1,0)+IF(L74&lt;&gt;"",2,0)+IF(R74&lt;&gt;"",1,0)</x:f>
        <x:v>10</x:v>
      </x:c>
      <x:c r="W74" s="45" t="n">
        <x:f>VLOOKUP(E74,'Rules and Assumptions'!$D$5:$F$15,3,FALSE)</x:f>
        <x:v>9</x:v>
      </x:c>
      <x:c r="X74" s="45" t="n">
        <x:f>SUM(S74:W74)</x:f>
        <x:v>69</x:v>
      </x:c>
      <x:c r="Y74" s="45" t="n">
        <x:f>RANK.EQ(X74,$X$5:$X$164,0)+COUNTIF($X$5:X74,X74)-1</x:f>
        <x:v>70</x:v>
      </x:c>
      <x:c r="Z74" s="43" t="str">
        <x:f>IF(Y74&lt;='Rules and Assumptions'!$M$5,"High",IF(Y74&lt;='Rules and Assumptions'!$M$6,"Medium","Low"))</x:f>
        <x:v>Medium</x:v>
      </x:c>
      <x:c r="AA74" s="43" t="str">
        <x:f>LOWER(TRIM(B74))</x:f>
        <x:v>ghgrp-1007550</x:v>
      </x:c>
      <x:c r="AB74" s="43" t="str">
        <x:f>IF(COUNTIF($AA$5:$AA$164,AA74)&gt;1,"Review","Unique")</x:f>
        <x:v>Unique</x:v>
      </x:c>
      <x:c r="AC74" s="47" t="str">
        <x:v>Waste-sector facility; qualify electricity, natural-gas, and multi-site purchasing needs.</x:v>
      </x:c>
      <x:c r="AD74" s="46" t="n">
        <x:v>45520</x:v>
      </x:c>
    </x:row>
    <x:row r="75">
      <x:c r="A75" s="41" t="str">
        <x:v>NE-071</x:v>
      </x:c>
      <x:c r="B75" s="41" t="str">
        <x:v>GHGRP-1005587</x:v>
      </x:c>
      <x:c r="C75" s="47" t="str">
        <x:v>R I HOSPITAL - Providence, RI</x:v>
      </x:c>
      <x:c r="D75" s="47" t="str">
        <x:v>LIFESPAN CORP</x:v>
      </x:c>
      <x:c r="E75" s="47" t="str">
        <x:v>Other</x:v>
      </x:c>
      <x:c r="F75" s="41" t="str">
        <x:v>622110</x:v>
      </x:c>
      <x:c r="G75" s="41" t="str">
        <x:v>Providence</x:v>
      </x:c>
      <x:c r="H75" s="41" t="str">
        <x:v>RI</x:v>
      </x:c>
      <x:c r="I75" s="41" t="str">
        <x:v>02903</x:v>
      </x:c>
      <x:c r="J75" s="42" t="n">
        <x:v>48576.556</x:v>
      </x:c>
      <x:c r="K75" s="43" t="str">
        <x:f>VLOOKUP(J75,'Rules and Assumptions'!$H$5:$J$9,3,TRUE)</x:f>
        <x:v>Small Reporting Load</x:v>
      </x:c>
      <x:c r="L75" s="47" t="str">
        <x:v>Director of Facilities</x:v>
      </x:c>
      <x:c r="M75" s="47" t="str">
        <x:v>Energy and Sustainability Manager</x:v>
      </x:c>
      <x:c r="N75" s="47" t="str">
        <x:v>Role identified; person not yet verified</x:v>
      </x:c>
      <x:c r="O75" s="47" t="str">
        <x:v>Facilities and Institutions</x:v>
      </x:c>
      <x:c r="P75" s="47" t="str">
        <x:v>Sales Rep B - Connecticut/Rhode Island</x:v>
      </x:c>
      <x:c r="Q75" s="47" t="str">
        <x:v>https://www.epa.gov/ghgreporting/data-sets</x:v>
      </x:c>
      <x:c r="R75" s="44" t="n">
        <x:v>1005587</x:v>
      </x:c>
      <x:c r="S75" s="45" t="n">
        <x:f>VLOOKUP(H75,'Rules and Assumptions'!$A$5:$B$10,2,FALSE)</x:f>
        <x:v>16</x:v>
      </x:c>
      <x:c r="T75" s="45" t="n">
        <x:f>VLOOKUP(E75,'Rules and Assumptions'!$D$5:$F$15,2,FALSE)</x:f>
        <x:v>22</x:v>
      </x:c>
      <x:c r="U75" s="45" t="n">
        <x:f>VLOOKUP(J75,'Rules and Assumptions'!$H$5:$J$9,2,TRUE)</x:f>
        <x:v>10</x:v>
      </x:c>
      <x:c r="V75" s="45" t="n">
        <x:f>IF(D75&lt;&gt;"",4,0)+IF(F75&lt;&gt;"",2,0)+IF(G75&lt;&gt;"",1,0)+IF(L75&lt;&gt;"",2,0)+IF(R75&lt;&gt;"",1,0)</x:f>
        <x:v>10</x:v>
      </x:c>
      <x:c r="W75" s="45" t="n">
        <x:f>VLOOKUP(E75,'Rules and Assumptions'!$D$5:$F$15,3,FALSE)</x:f>
        <x:v>10</x:v>
      </x:c>
      <x:c r="X75" s="45" t="n">
        <x:f>SUM(S75:W75)</x:f>
        <x:v>68</x:v>
      </x:c>
      <x:c r="Y75" s="45" t="n">
        <x:f>RANK.EQ(X75,$X$5:$X$164,0)+COUNTIF($X$5:X75,X75)-1</x:f>
        <x:v>71</x:v>
      </x:c>
      <x:c r="Z75" s="43" t="str">
        <x:f>IF(Y75&lt;='Rules and Assumptions'!$M$5,"High",IF(Y75&lt;='Rules and Assumptions'!$M$6,"Medium","Low"))</x:f>
        <x:v>Medium</x:v>
      </x:c>
      <x:c r="AA75" s="43" t="str">
        <x:f>LOWER(TRIM(B75))</x:f>
        <x:v>ghgrp-1005587</x:v>
      </x:c>
      <x:c r="AB75" s="43" t="str">
        <x:f>IF(COUNTIF($AA$5:$AA$164,AA75)&gt;1,"Review","Unique")</x:f>
        <x:v>Unique</x:v>
      </x:c>
      <x:c r="AC75" s="47" t="str">
        <x:v>General commercial or institutional facility; validate site portfolio and purchasing authority.</x:v>
      </x:c>
      <x:c r="AD75" s="46" t="n">
        <x:v>45520</x:v>
      </x:c>
    </x:row>
    <x:row r="76">
      <x:c r="A76" s="41" t="str">
        <x:v>NE-072</x:v>
      </x:c>
      <x:c r="B76" s="41" t="str">
        <x:v>GHGRP-1005264</x:v>
      </x:c>
      <x:c r="C76" s="47" t="str">
        <x:v>DARTMOUTH COLLEGE HEATING PLANT - Hanover, NH</x:v>
      </x:c>
      <x:c r="D76" s="47" t="str">
        <x:v>TRUSTEES OF DARTMOUTH COLLEGE</x:v>
      </x:c>
      <x:c r="E76" s="47" t="str">
        <x:v>Other</x:v>
      </x:c>
      <x:c r="F76" s="41" t="str">
        <x:v>611310</x:v>
      </x:c>
      <x:c r="G76" s="41" t="str">
        <x:v>Hanover</x:v>
      </x:c>
      <x:c r="H76" s="41" t="str">
        <x:v>NH</x:v>
      </x:c>
      <x:c r="I76" s="41" t="str">
        <x:v>03755</x:v>
      </x:c>
      <x:c r="J76" s="42" t="n">
        <x:v>41362.49</x:v>
      </x:c>
      <x:c r="K76" s="43" t="str">
        <x:f>VLOOKUP(J76,'Rules and Assumptions'!$H$5:$J$9,3,TRUE)</x:f>
        <x:v>Small Reporting Load</x:v>
      </x:c>
      <x:c r="L76" s="47" t="str">
        <x:v>Director of Facilities</x:v>
      </x:c>
      <x:c r="M76" s="47" t="str">
        <x:v>Energy and Sustainability Manager</x:v>
      </x:c>
      <x:c r="N76" s="47" t="str">
        <x:v>Role identified; person not yet verified</x:v>
      </x:c>
      <x:c r="O76" s="47" t="str">
        <x:v>Facilities and Institutions</x:v>
      </x:c>
      <x:c r="P76" s="47" t="str">
        <x:v>Sales Rep C - Northern New England</x:v>
      </x:c>
      <x:c r="Q76" s="47" t="str">
        <x:v>https://www.epa.gov/ghgreporting/data-sets</x:v>
      </x:c>
      <x:c r="R76" s="44" t="n">
        <x:v>1005264</x:v>
      </x:c>
      <x:c r="S76" s="45" t="n">
        <x:f>VLOOKUP(H76,'Rules and Assumptions'!$A$5:$B$10,2,FALSE)</x:f>
        <x:v>16</x:v>
      </x:c>
      <x:c r="T76" s="45" t="n">
        <x:f>VLOOKUP(E76,'Rules and Assumptions'!$D$5:$F$15,2,FALSE)</x:f>
        <x:v>22</x:v>
      </x:c>
      <x:c r="U76" s="45" t="n">
        <x:f>VLOOKUP(J76,'Rules and Assumptions'!$H$5:$J$9,2,TRUE)</x:f>
        <x:v>10</x:v>
      </x:c>
      <x:c r="V76" s="45" t="n">
        <x:f>IF(D76&lt;&gt;"",4,0)+IF(F76&lt;&gt;"",2,0)+IF(G76&lt;&gt;"",1,0)+IF(L76&lt;&gt;"",2,0)+IF(R76&lt;&gt;"",1,0)</x:f>
        <x:v>10</x:v>
      </x:c>
      <x:c r="W76" s="45" t="n">
        <x:f>VLOOKUP(E76,'Rules and Assumptions'!$D$5:$F$15,3,FALSE)</x:f>
        <x:v>10</x:v>
      </x:c>
      <x:c r="X76" s="45" t="n">
        <x:f>SUM(S76:W76)</x:f>
        <x:v>68</x:v>
      </x:c>
      <x:c r="Y76" s="45" t="n">
        <x:f>RANK.EQ(X76,$X$5:$X$164,0)+COUNTIF($X$5:X76,X76)-1</x:f>
        <x:v>72</x:v>
      </x:c>
      <x:c r="Z76" s="43" t="str">
        <x:f>IF(Y76&lt;='Rules and Assumptions'!$M$5,"High",IF(Y76&lt;='Rules and Assumptions'!$M$6,"Medium","Low"))</x:f>
        <x:v>Medium</x:v>
      </x:c>
      <x:c r="AA76" s="43" t="str">
        <x:f>LOWER(TRIM(B76))</x:f>
        <x:v>ghgrp-1005264</x:v>
      </x:c>
      <x:c r="AB76" s="43" t="str">
        <x:f>IF(COUNTIF($AA$5:$AA$164,AA76)&gt;1,"Review","Unique")</x:f>
        <x:v>Unique</x:v>
      </x:c>
      <x:c r="AC76" s="47" t="str">
        <x:v>General commercial or institutional facility; validate site portfolio and purchasing authority.</x:v>
      </x:c>
      <x:c r="AD76" s="46" t="n">
        <x:v>45520</x:v>
      </x:c>
    </x:row>
    <x:row r="77">
      <x:c r="A77" s="41" t="str">
        <x:v>NE-073</x:v>
      </x:c>
      <x:c r="B77" s="41" t="str">
        <x:v>GHGRP-1004983</x:v>
      </x:c>
      <x:c r="C77" s="47" t="str">
        <x:v>FRITO-LAY - Killingly (Dayville), CT</x:v>
      </x:c>
      <x:c r="D77" s="47" t="str">
        <x:v>PEPSICO INC</x:v>
      </x:c>
      <x:c r="E77" s="47" t="str">
        <x:v>Other</x:v>
      </x:c>
      <x:c r="F77" s="41" t="str">
        <x:v>311919</x:v>
      </x:c>
      <x:c r="G77" s="41" t="str">
        <x:v>Killingly (Dayville)</x:v>
      </x:c>
      <x:c r="H77" s="41" t="str">
        <x:v>CT</x:v>
      </x:c>
      <x:c r="I77" s="41" t="str">
        <x:v>06241</x:v>
      </x:c>
      <x:c r="J77" s="42" t="n">
        <x:v>40904.896</x:v>
      </x:c>
      <x:c r="K77" s="43" t="str">
        <x:f>VLOOKUP(J77,'Rules and Assumptions'!$H$5:$J$9,3,TRUE)</x:f>
        <x:v>Small Reporting Load</x:v>
      </x:c>
      <x:c r="L77" s="47" t="str">
        <x:v>Director of Facilities</x:v>
      </x:c>
      <x:c r="M77" s="47" t="str">
        <x:v>Energy and Sustainability Manager</x:v>
      </x:c>
      <x:c r="N77" s="47" t="str">
        <x:v>Role identified; person not yet verified</x:v>
      </x:c>
      <x:c r="O77" s="47" t="str">
        <x:v>Facilities and Institutions</x:v>
      </x:c>
      <x:c r="P77" s="47" t="str">
        <x:v>Sales Rep B - Connecticut/Rhode Island</x:v>
      </x:c>
      <x:c r="Q77" s="47" t="str">
        <x:v>https://www.epa.gov/ghgreporting/data-sets</x:v>
      </x:c>
      <x:c r="R77" s="44" t="n">
        <x:v>1004983</x:v>
      </x:c>
      <x:c r="S77" s="45" t="n">
        <x:f>VLOOKUP(H77,'Rules and Assumptions'!$A$5:$B$10,2,FALSE)</x:f>
        <x:v>16</x:v>
      </x:c>
      <x:c r="T77" s="45" t="n">
        <x:f>VLOOKUP(E77,'Rules and Assumptions'!$D$5:$F$15,2,FALSE)</x:f>
        <x:v>22</x:v>
      </x:c>
      <x:c r="U77" s="45" t="n">
        <x:f>VLOOKUP(J77,'Rules and Assumptions'!$H$5:$J$9,2,TRUE)</x:f>
        <x:v>10</x:v>
      </x:c>
      <x:c r="V77" s="45" t="n">
        <x:f>IF(D77&lt;&gt;"",4,0)+IF(F77&lt;&gt;"",2,0)+IF(G77&lt;&gt;"",1,0)+IF(L77&lt;&gt;"",2,0)+IF(R77&lt;&gt;"",1,0)</x:f>
        <x:v>10</x:v>
      </x:c>
      <x:c r="W77" s="45" t="n">
        <x:f>VLOOKUP(E77,'Rules and Assumptions'!$D$5:$F$15,3,FALSE)</x:f>
        <x:v>10</x:v>
      </x:c>
      <x:c r="X77" s="45" t="n">
        <x:f>SUM(S77:W77)</x:f>
        <x:v>68</x:v>
      </x:c>
      <x:c r="Y77" s="45" t="n">
        <x:f>RANK.EQ(X77,$X$5:$X$164,0)+COUNTIF($X$5:X77,X77)-1</x:f>
        <x:v>73</x:v>
      </x:c>
      <x:c r="Z77" s="43" t="str">
        <x:f>IF(Y77&lt;='Rules and Assumptions'!$M$5,"High",IF(Y77&lt;='Rules and Assumptions'!$M$6,"Medium","Low"))</x:f>
        <x:v>Medium</x:v>
      </x:c>
      <x:c r="AA77" s="43" t="str">
        <x:f>LOWER(TRIM(B77))</x:f>
        <x:v>ghgrp-1004983</x:v>
      </x:c>
      <x:c r="AB77" s="43" t="str">
        <x:f>IF(COUNTIF($AA$5:$AA$164,AA77)&gt;1,"Review","Unique")</x:f>
        <x:v>Unique</x:v>
      </x:c>
      <x:c r="AC77" s="47" t="str">
        <x:v>General commercial or institutional facility; validate site portfolio and purchasing authority.</x:v>
      </x:c>
      <x:c r="AD77" s="46" t="n">
        <x:v>45520</x:v>
      </x:c>
    </x:row>
    <x:row r="78">
      <x:c r="A78" s="41" t="str">
        <x:v>NE-074</x:v>
      </x:c>
      <x:c r="B78" s="41" t="str">
        <x:v>GHGRP-1002311</x:v>
      </x:c>
      <x:c r="C78" s="47" t="str">
        <x:v>Naval Submarine Base New London - Groton, CT</x:v>
      </x:c>
      <x:c r="D78" s="47" t="str">
        <x:v>US GOVERNMENT</x:v>
      </x:c>
      <x:c r="E78" s="47" t="str">
        <x:v>Other</x:v>
      </x:c>
      <x:c r="F78" s="41" t="str">
        <x:v>928110</x:v>
      </x:c>
      <x:c r="G78" s="41" t="str">
        <x:v>Groton</x:v>
      </x:c>
      <x:c r="H78" s="41" t="str">
        <x:v>CT</x:v>
      </x:c>
      <x:c r="I78" s="41" t="str">
        <x:v>06349</x:v>
      </x:c>
      <x:c r="J78" s="42" t="n">
        <x:v>33690.214</x:v>
      </x:c>
      <x:c r="K78" s="43" t="str">
        <x:f>VLOOKUP(J78,'Rules and Assumptions'!$H$5:$J$9,3,TRUE)</x:f>
        <x:v>Small Reporting Load</x:v>
      </x:c>
      <x:c r="L78" s="47" t="str">
        <x:v>Director of Facilities</x:v>
      </x:c>
      <x:c r="M78" s="47" t="str">
        <x:v>Energy and Sustainability Manager</x:v>
      </x:c>
      <x:c r="N78" s="47" t="str">
        <x:v>Role identified; person not yet verified</x:v>
      </x:c>
      <x:c r="O78" s="47" t="str">
        <x:v>Facilities and Institutions</x:v>
      </x:c>
      <x:c r="P78" s="47" t="str">
        <x:v>Sales Rep B - Connecticut/Rhode Island</x:v>
      </x:c>
      <x:c r="Q78" s="47" t="str">
        <x:v>https://www.epa.gov/ghgreporting/data-sets</x:v>
      </x:c>
      <x:c r="R78" s="44" t="n">
        <x:v>1002311</x:v>
      </x:c>
      <x:c r="S78" s="45" t="n">
        <x:f>VLOOKUP(H78,'Rules and Assumptions'!$A$5:$B$10,2,FALSE)</x:f>
        <x:v>16</x:v>
      </x:c>
      <x:c r="T78" s="45" t="n">
        <x:f>VLOOKUP(E78,'Rules and Assumptions'!$D$5:$F$15,2,FALSE)</x:f>
        <x:v>22</x:v>
      </x:c>
      <x:c r="U78" s="45" t="n">
        <x:f>VLOOKUP(J78,'Rules and Assumptions'!$H$5:$J$9,2,TRUE)</x:f>
        <x:v>10</x:v>
      </x:c>
      <x:c r="V78" s="45" t="n">
        <x:f>IF(D78&lt;&gt;"",4,0)+IF(F78&lt;&gt;"",2,0)+IF(G78&lt;&gt;"",1,0)+IF(L78&lt;&gt;"",2,0)+IF(R78&lt;&gt;"",1,0)</x:f>
        <x:v>10</x:v>
      </x:c>
      <x:c r="W78" s="45" t="n">
        <x:f>VLOOKUP(E78,'Rules and Assumptions'!$D$5:$F$15,3,FALSE)</x:f>
        <x:v>10</x:v>
      </x:c>
      <x:c r="X78" s="45" t="n">
        <x:f>SUM(S78:W78)</x:f>
        <x:v>68</x:v>
      </x:c>
      <x:c r="Y78" s="45" t="n">
        <x:f>RANK.EQ(X78,$X$5:$X$164,0)+COUNTIF($X$5:X78,X78)-1</x:f>
        <x:v>74</x:v>
      </x:c>
      <x:c r="Z78" s="43" t="str">
        <x:f>IF(Y78&lt;='Rules and Assumptions'!$M$5,"High",IF(Y78&lt;='Rules and Assumptions'!$M$6,"Medium","Low"))</x:f>
        <x:v>Medium</x:v>
      </x:c>
      <x:c r="AA78" s="43" t="str">
        <x:f>LOWER(TRIM(B78))</x:f>
        <x:v>ghgrp-1002311</x:v>
      </x:c>
      <x:c r="AB78" s="43" t="str">
        <x:f>IF(COUNTIF($AA$5:$AA$164,AA78)&gt;1,"Review","Unique")</x:f>
        <x:v>Unique</x:v>
      </x:c>
      <x:c r="AC78" s="47" t="str">
        <x:v>General commercial or institutional facility; validate site portfolio and purchasing authority.</x:v>
      </x:c>
      <x:c r="AD78" s="46" t="n">
        <x:v>45520</x:v>
      </x:c>
    </x:row>
    <x:row r="79">
      <x:c r="A79" s="41" t="str">
        <x:v>NE-075</x:v>
      </x:c>
      <x:c r="B79" s="41" t="str">
        <x:v>GHGRP-1004295</x:v>
      </x:c>
      <x:c r="C79" s="47" t="str">
        <x:v>PRATT &amp; WHITNEY MIDDLETOWN - Middletown, CT</x:v>
      </x:c>
      <x:c r="D79" s="47" t="str">
        <x:v>RTX CORP</x:v>
      </x:c>
      <x:c r="E79" s="47" t="str">
        <x:v>Other</x:v>
      </x:c>
      <x:c r="F79" s="41" t="str">
        <x:v>336412</x:v>
      </x:c>
      <x:c r="G79" s="41" t="str">
        <x:v>Middletown</x:v>
      </x:c>
      <x:c r="H79" s="41" t="str">
        <x:v>CT</x:v>
      </x:c>
      <x:c r="I79" s="41" t="str">
        <x:v>06457</x:v>
      </x:c>
      <x:c r="J79" s="42" t="n">
        <x:v>31813.526</x:v>
      </x:c>
      <x:c r="K79" s="43" t="str">
        <x:f>VLOOKUP(J79,'Rules and Assumptions'!$H$5:$J$9,3,TRUE)</x:f>
        <x:v>Small Reporting Load</x:v>
      </x:c>
      <x:c r="L79" s="47" t="str">
        <x:v>Director of Facilities</x:v>
      </x:c>
      <x:c r="M79" s="47" t="str">
        <x:v>Energy and Sustainability Manager</x:v>
      </x:c>
      <x:c r="N79" s="47" t="str">
        <x:v>Role identified; person not yet verified</x:v>
      </x:c>
      <x:c r="O79" s="47" t="str">
        <x:v>Facilities and Institutions</x:v>
      </x:c>
      <x:c r="P79" s="47" t="str">
        <x:v>Sales Rep B - Connecticut/Rhode Island</x:v>
      </x:c>
      <x:c r="Q79" s="47" t="str">
        <x:v>https://www.epa.gov/ghgreporting/data-sets</x:v>
      </x:c>
      <x:c r="R79" s="44" t="n">
        <x:v>1004295</x:v>
      </x:c>
      <x:c r="S79" s="45" t="n">
        <x:f>VLOOKUP(H79,'Rules and Assumptions'!$A$5:$B$10,2,FALSE)</x:f>
        <x:v>16</x:v>
      </x:c>
      <x:c r="T79" s="45" t="n">
        <x:f>VLOOKUP(E79,'Rules and Assumptions'!$D$5:$F$15,2,FALSE)</x:f>
        <x:v>22</x:v>
      </x:c>
      <x:c r="U79" s="45" t="n">
        <x:f>VLOOKUP(J79,'Rules and Assumptions'!$H$5:$J$9,2,TRUE)</x:f>
        <x:v>10</x:v>
      </x:c>
      <x:c r="V79" s="45" t="n">
        <x:f>IF(D79&lt;&gt;"",4,0)+IF(F79&lt;&gt;"",2,0)+IF(G79&lt;&gt;"",1,0)+IF(L79&lt;&gt;"",2,0)+IF(R79&lt;&gt;"",1,0)</x:f>
        <x:v>10</x:v>
      </x:c>
      <x:c r="W79" s="45" t="n">
        <x:f>VLOOKUP(E79,'Rules and Assumptions'!$D$5:$F$15,3,FALSE)</x:f>
        <x:v>10</x:v>
      </x:c>
      <x:c r="X79" s="45" t="n">
        <x:f>SUM(S79:W79)</x:f>
        <x:v>68</x:v>
      </x:c>
      <x:c r="Y79" s="45" t="n">
        <x:f>RANK.EQ(X79,$X$5:$X$164,0)+COUNTIF($X$5:X79,X79)-1</x:f>
        <x:v>75</x:v>
      </x:c>
      <x:c r="Z79" s="43" t="str">
        <x:f>IF(Y79&lt;='Rules and Assumptions'!$M$5,"High",IF(Y79&lt;='Rules and Assumptions'!$M$6,"Medium","Low"))</x:f>
        <x:v>Medium</x:v>
      </x:c>
      <x:c r="AA79" s="43" t="str">
        <x:f>LOWER(TRIM(B79))</x:f>
        <x:v>ghgrp-1004295</x:v>
      </x:c>
      <x:c r="AB79" s="43" t="str">
        <x:f>IF(COUNTIF($AA$5:$AA$164,AA79)&gt;1,"Review","Unique")</x:f>
        <x:v>Unique</x:v>
      </x:c>
      <x:c r="AC79" s="47" t="str">
        <x:v>General commercial or institutional facility; validate site portfolio and purchasing authority.</x:v>
      </x:c>
      <x:c r="AD79" s="46" t="n">
        <x:v>45520</x:v>
      </x:c>
    </x:row>
    <x:row r="80">
      <x:c r="A80" s="41" t="str">
        <x:v>NE-076</x:v>
      </x:c>
      <x:c r="B80" s="41" t="str">
        <x:v>GHGRP-1008928</x:v>
      </x:c>
      <x:c r="C80" s="47" t="str">
        <x:v>Hamilton Sundstrand Corporation - Windsor Locks, CT</x:v>
      </x:c>
      <x:c r="D80" s="47" t="str">
        <x:v>RTX CORP</x:v>
      </x:c>
      <x:c r="E80" s="47" t="str">
        <x:v>Other</x:v>
      </x:c>
      <x:c r="F80" s="41" t="str">
        <x:v>336413</x:v>
      </x:c>
      <x:c r="G80" s="41" t="str">
        <x:v>Windsor Locks</x:v>
      </x:c>
      <x:c r="H80" s="41" t="str">
        <x:v>CT</x:v>
      </x:c>
      <x:c r="I80" s="41" t="str">
        <x:v>06096</x:v>
      </x:c>
      <x:c r="J80" s="42" t="n">
        <x:v>29237.336</x:v>
      </x:c>
      <x:c r="K80" s="43" t="str">
        <x:f>VLOOKUP(J80,'Rules and Assumptions'!$H$5:$J$9,3,TRUE)</x:f>
        <x:v>Small Reporting Load</x:v>
      </x:c>
      <x:c r="L80" s="47" t="str">
        <x:v>Director of Facilities</x:v>
      </x:c>
      <x:c r="M80" s="47" t="str">
        <x:v>Energy and Sustainability Manager</x:v>
      </x:c>
      <x:c r="N80" s="47" t="str">
        <x:v>Role identified; person not yet verified</x:v>
      </x:c>
      <x:c r="O80" s="47" t="str">
        <x:v>Facilities and Institutions</x:v>
      </x:c>
      <x:c r="P80" s="47" t="str">
        <x:v>Sales Rep B - Connecticut/Rhode Island</x:v>
      </x:c>
      <x:c r="Q80" s="47" t="str">
        <x:v>https://www.epa.gov/ghgreporting/data-sets</x:v>
      </x:c>
      <x:c r="R80" s="44" t="n">
        <x:v>1008928</x:v>
      </x:c>
      <x:c r="S80" s="45" t="n">
        <x:f>VLOOKUP(H80,'Rules and Assumptions'!$A$5:$B$10,2,FALSE)</x:f>
        <x:v>16</x:v>
      </x:c>
      <x:c r="T80" s="45" t="n">
        <x:f>VLOOKUP(E80,'Rules and Assumptions'!$D$5:$F$15,2,FALSE)</x:f>
        <x:v>22</x:v>
      </x:c>
      <x:c r="U80" s="45" t="n">
        <x:f>VLOOKUP(J80,'Rules and Assumptions'!$H$5:$J$9,2,TRUE)</x:f>
        <x:v>10</x:v>
      </x:c>
      <x:c r="V80" s="45" t="n">
        <x:f>IF(D80&lt;&gt;"",4,0)+IF(F80&lt;&gt;"",2,0)+IF(G80&lt;&gt;"",1,0)+IF(L80&lt;&gt;"",2,0)+IF(R80&lt;&gt;"",1,0)</x:f>
        <x:v>10</x:v>
      </x:c>
      <x:c r="W80" s="45" t="n">
        <x:f>VLOOKUP(E80,'Rules and Assumptions'!$D$5:$F$15,3,FALSE)</x:f>
        <x:v>10</x:v>
      </x:c>
      <x:c r="X80" s="45" t="n">
        <x:f>SUM(S80:W80)</x:f>
        <x:v>68</x:v>
      </x:c>
      <x:c r="Y80" s="45" t="n">
        <x:f>RANK.EQ(X80,$X$5:$X$164,0)+COUNTIF($X$5:X80,X80)-1</x:f>
        <x:v>76</x:v>
      </x:c>
      <x:c r="Z80" s="43" t="str">
        <x:f>IF(Y80&lt;='Rules and Assumptions'!$M$5,"High",IF(Y80&lt;='Rules and Assumptions'!$M$6,"Medium","Low"))</x:f>
        <x:v>Medium</x:v>
      </x:c>
      <x:c r="AA80" s="43" t="str">
        <x:f>LOWER(TRIM(B80))</x:f>
        <x:v>ghgrp-1008928</x:v>
      </x:c>
      <x:c r="AB80" s="43" t="str">
        <x:f>IF(COUNTIF($AA$5:$AA$164,AA80)&gt;1,"Review","Unique")</x:f>
        <x:v>Unique</x:v>
      </x:c>
      <x:c r="AC80" s="47" t="str">
        <x:v>General commercial or institutional facility; validate site portfolio and purchasing authority.</x:v>
      </x:c>
      <x:c r="AD80" s="46" t="n">
        <x:v>45520</x:v>
      </x:c>
    </x:row>
    <x:row r="81">
      <x:c r="A81" s="41" t="str">
        <x:v>NE-077</x:v>
      </x:c>
      <x:c r="B81" s="41" t="str">
        <x:v>GHGRP-1003597</x:v>
      </x:c>
      <x:c r="C81" s="47" t="str">
        <x:v>Mohegan Tribe of Indians of Connecticut - Uncasville, CT</x:v>
      </x:c>
      <x:c r="D81" s="47" t="str">
        <x:v>MOHEGAN TRIBE OF INDIANS OF CONNECTICUT</x:v>
      </x:c>
      <x:c r="E81" s="47" t="str">
        <x:v>Other</x:v>
      </x:c>
      <x:c r="F81" s="41" t="str">
        <x:v>721120</x:v>
      </x:c>
      <x:c r="G81" s="41" t="str">
        <x:v>Uncasville</x:v>
      </x:c>
      <x:c r="H81" s="41" t="str">
        <x:v>CT</x:v>
      </x:c>
      <x:c r="I81" s="41" t="str">
        <x:v>06382</x:v>
      </x:c>
      <x:c r="J81" s="42" t="n">
        <x:v>28084.884</x:v>
      </x:c>
      <x:c r="K81" s="43" t="str">
        <x:f>VLOOKUP(J81,'Rules and Assumptions'!$H$5:$J$9,3,TRUE)</x:f>
        <x:v>Small Reporting Load</x:v>
      </x:c>
      <x:c r="L81" s="47" t="str">
        <x:v>Director of Facilities</x:v>
      </x:c>
      <x:c r="M81" s="47" t="str">
        <x:v>Energy and Sustainability Manager</x:v>
      </x:c>
      <x:c r="N81" s="47" t="str">
        <x:v>Role identified; person not yet verified</x:v>
      </x:c>
      <x:c r="O81" s="47" t="str">
        <x:v>Facilities and Institutions</x:v>
      </x:c>
      <x:c r="P81" s="47" t="str">
        <x:v>Sales Rep B - Connecticut/Rhode Island</x:v>
      </x:c>
      <x:c r="Q81" s="47" t="str">
        <x:v>https://www.epa.gov/ghgreporting/data-sets</x:v>
      </x:c>
      <x:c r="R81" s="44" t="n">
        <x:v>1003597</x:v>
      </x:c>
      <x:c r="S81" s="45" t="n">
        <x:f>VLOOKUP(H81,'Rules and Assumptions'!$A$5:$B$10,2,FALSE)</x:f>
        <x:v>16</x:v>
      </x:c>
      <x:c r="T81" s="45" t="n">
        <x:f>VLOOKUP(E81,'Rules and Assumptions'!$D$5:$F$15,2,FALSE)</x:f>
        <x:v>22</x:v>
      </x:c>
      <x:c r="U81" s="45" t="n">
        <x:f>VLOOKUP(J81,'Rules and Assumptions'!$H$5:$J$9,2,TRUE)</x:f>
        <x:v>10</x:v>
      </x:c>
      <x:c r="V81" s="45" t="n">
        <x:f>IF(D81&lt;&gt;"",4,0)+IF(F81&lt;&gt;"",2,0)+IF(G81&lt;&gt;"",1,0)+IF(L81&lt;&gt;"",2,0)+IF(R81&lt;&gt;"",1,0)</x:f>
        <x:v>10</x:v>
      </x:c>
      <x:c r="W81" s="45" t="n">
        <x:f>VLOOKUP(E81,'Rules and Assumptions'!$D$5:$F$15,3,FALSE)</x:f>
        <x:v>10</x:v>
      </x:c>
      <x:c r="X81" s="45" t="n">
        <x:f>SUM(S81:W81)</x:f>
        <x:v>68</x:v>
      </x:c>
      <x:c r="Y81" s="45" t="n">
        <x:f>RANK.EQ(X81,$X$5:$X$164,0)+COUNTIF($X$5:X81,X81)-1</x:f>
        <x:v>77</x:v>
      </x:c>
      <x:c r="Z81" s="43" t="str">
        <x:f>IF(Y81&lt;='Rules and Assumptions'!$M$5,"High",IF(Y81&lt;='Rules and Assumptions'!$M$6,"Medium","Low"))</x:f>
        <x:v>Medium</x:v>
      </x:c>
      <x:c r="AA81" s="43" t="str">
        <x:f>LOWER(TRIM(B81))</x:f>
        <x:v>ghgrp-1003597</x:v>
      </x:c>
      <x:c r="AB81" s="43" t="str">
        <x:f>IF(COUNTIF($AA$5:$AA$164,AA81)&gt;1,"Review","Unique")</x:f>
        <x:v>Unique</x:v>
      </x:c>
      <x:c r="AC81" s="47" t="str">
        <x:v>General commercial or institutional facility; validate site portfolio and purchasing authority.</x:v>
      </x:c>
      <x:c r="AD81" s="46" t="n">
        <x:v>45520</x:v>
      </x:c>
    </x:row>
    <x:row r="82">
      <x:c r="A82" s="41" t="str">
        <x:v>NE-078</x:v>
      </x:c>
      <x:c r="B82" s="41" t="str">
        <x:v>GHGRP-1001811</x:v>
      </x:c>
      <x:c r="C82" s="47" t="str">
        <x:v>BROWN UNIVERSITY MAIN CAMPUS - Providence, RI</x:v>
      </x:c>
      <x:c r="D82" s="47" t="str">
        <x:v>Brown University</x:v>
      </x:c>
      <x:c r="E82" s="47" t="str">
        <x:v>Other</x:v>
      </x:c>
      <x:c r="F82" s="41" t="str">
        <x:v>611310</x:v>
      </x:c>
      <x:c r="G82" s="41" t="str">
        <x:v>Providence</x:v>
      </x:c>
      <x:c r="H82" s="41" t="str">
        <x:v>RI</x:v>
      </x:c>
      <x:c r="I82" s="41" t="str">
        <x:v>02912</x:v>
      </x:c>
      <x:c r="J82" s="42" t="n">
        <x:v>24994.456</x:v>
      </x:c>
      <x:c r="K82" s="43" t="str">
        <x:f>VLOOKUP(J82,'Rules and Assumptions'!$H$5:$J$9,3,TRUE)</x:f>
        <x:v>Small Reporting Load</x:v>
      </x:c>
      <x:c r="L82" s="47" t="str">
        <x:v>Director of Facilities</x:v>
      </x:c>
      <x:c r="M82" s="47" t="str">
        <x:v>Energy and Sustainability Manager</x:v>
      </x:c>
      <x:c r="N82" s="47" t="str">
        <x:v>Role identified; person not yet verified</x:v>
      </x:c>
      <x:c r="O82" s="47" t="str">
        <x:v>Facilities and Institutions</x:v>
      </x:c>
      <x:c r="P82" s="47" t="str">
        <x:v>Sales Rep B - Connecticut/Rhode Island</x:v>
      </x:c>
      <x:c r="Q82" s="47" t="str">
        <x:v>https://www.epa.gov/ghgreporting/data-sets</x:v>
      </x:c>
      <x:c r="R82" s="44" t="n">
        <x:v>1001811</x:v>
      </x:c>
      <x:c r="S82" s="45" t="n">
        <x:f>VLOOKUP(H82,'Rules and Assumptions'!$A$5:$B$10,2,FALSE)</x:f>
        <x:v>16</x:v>
      </x:c>
      <x:c r="T82" s="45" t="n">
        <x:f>VLOOKUP(E82,'Rules and Assumptions'!$D$5:$F$15,2,FALSE)</x:f>
        <x:v>22</x:v>
      </x:c>
      <x:c r="U82" s="45" t="n">
        <x:f>VLOOKUP(J82,'Rules and Assumptions'!$H$5:$J$9,2,TRUE)</x:f>
        <x:v>10</x:v>
      </x:c>
      <x:c r="V82" s="45" t="n">
        <x:f>IF(D82&lt;&gt;"",4,0)+IF(F82&lt;&gt;"",2,0)+IF(G82&lt;&gt;"",1,0)+IF(L82&lt;&gt;"",2,0)+IF(R82&lt;&gt;"",1,0)</x:f>
        <x:v>10</x:v>
      </x:c>
      <x:c r="W82" s="45" t="n">
        <x:f>VLOOKUP(E82,'Rules and Assumptions'!$D$5:$F$15,3,FALSE)</x:f>
        <x:v>10</x:v>
      </x:c>
      <x:c r="X82" s="45" t="n">
        <x:f>SUM(S82:W82)</x:f>
        <x:v>68</x:v>
      </x:c>
      <x:c r="Y82" s="45" t="n">
        <x:f>RANK.EQ(X82,$X$5:$X$164,0)+COUNTIF($X$5:X82,X82)-1</x:f>
        <x:v>78</x:v>
      </x:c>
      <x:c r="Z82" s="43" t="str">
        <x:f>IF(Y82&lt;='Rules and Assumptions'!$M$5,"High",IF(Y82&lt;='Rules and Assumptions'!$M$6,"Medium","Low"))</x:f>
        <x:v>Medium</x:v>
      </x:c>
      <x:c r="AA82" s="43" t="str">
        <x:f>LOWER(TRIM(B82))</x:f>
        <x:v>ghgrp-1001811</x:v>
      </x:c>
      <x:c r="AB82" s="43" t="str">
        <x:f>IF(COUNTIF($AA$5:$AA$164,AA82)&gt;1,"Review","Unique")</x:f>
        <x:v>Unique</x:v>
      </x:c>
      <x:c r="AC82" s="47" t="str">
        <x:v>General commercial or institutional facility; validate site portfolio and purchasing authority.</x:v>
      </x:c>
      <x:c r="AD82" s="46" t="n">
        <x:v>45520</x:v>
      </x:c>
    </x:row>
    <x:row r="83">
      <x:c r="A83" s="41" t="str">
        <x:v>NE-079</x:v>
      </x:c>
      <x:c r="B83" s="41" t="str">
        <x:v>GHGRP-1012083</x:v>
      </x:c>
      <x:c r="C83" s="47" t="str">
        <x:v>University of New Hampshire - Durham, NH</x:v>
      </x:c>
      <x:c r="D83" s="47" t="str">
        <x:v>UNIVERSITY SYSTEM OF NEW HAMPSHIRE</x:v>
      </x:c>
      <x:c r="E83" s="47" t="str">
        <x:v>Other</x:v>
      </x:c>
      <x:c r="F83" s="41" t="str">
        <x:v>611310</x:v>
      </x:c>
      <x:c r="G83" s="41" t="str">
        <x:v>Durham</x:v>
      </x:c>
      <x:c r="H83" s="41" t="str">
        <x:v>NH</x:v>
      </x:c>
      <x:c r="I83" s="41" t="str">
        <x:v>03824</x:v>
      </x:c>
      <x:c r="J83" s="42" t="n">
        <x:v>20385.006</x:v>
      </x:c>
      <x:c r="K83" s="43" t="str">
        <x:f>VLOOKUP(J83,'Rules and Assumptions'!$H$5:$J$9,3,TRUE)</x:f>
        <x:v>Small Reporting Load</x:v>
      </x:c>
      <x:c r="L83" s="47" t="str">
        <x:v>Director of Facilities</x:v>
      </x:c>
      <x:c r="M83" s="47" t="str">
        <x:v>Energy and Sustainability Manager</x:v>
      </x:c>
      <x:c r="N83" s="47" t="str">
        <x:v>Role identified; person not yet verified</x:v>
      </x:c>
      <x:c r="O83" s="47" t="str">
        <x:v>Facilities and Institutions</x:v>
      </x:c>
      <x:c r="P83" s="47" t="str">
        <x:v>Sales Rep C - Northern New England</x:v>
      </x:c>
      <x:c r="Q83" s="47" t="str">
        <x:v>https://www.epa.gov/ghgreporting/data-sets</x:v>
      </x:c>
      <x:c r="R83" s="44" t="n">
        <x:v>1012083</x:v>
      </x:c>
      <x:c r="S83" s="45" t="n">
        <x:f>VLOOKUP(H83,'Rules and Assumptions'!$A$5:$B$10,2,FALSE)</x:f>
        <x:v>16</x:v>
      </x:c>
      <x:c r="T83" s="45" t="n">
        <x:f>VLOOKUP(E83,'Rules and Assumptions'!$D$5:$F$15,2,FALSE)</x:f>
        <x:v>22</x:v>
      </x:c>
      <x:c r="U83" s="45" t="n">
        <x:f>VLOOKUP(J83,'Rules and Assumptions'!$H$5:$J$9,2,TRUE)</x:f>
        <x:v>10</x:v>
      </x:c>
      <x:c r="V83" s="45" t="n">
        <x:f>IF(D83&lt;&gt;"",4,0)+IF(F83&lt;&gt;"",2,0)+IF(G83&lt;&gt;"",1,0)+IF(L83&lt;&gt;"",2,0)+IF(R83&lt;&gt;"",1,0)</x:f>
        <x:v>10</x:v>
      </x:c>
      <x:c r="W83" s="45" t="n">
        <x:f>VLOOKUP(E83,'Rules and Assumptions'!$D$5:$F$15,3,FALSE)</x:f>
        <x:v>10</x:v>
      </x:c>
      <x:c r="X83" s="45" t="n">
        <x:f>SUM(S83:W83)</x:f>
        <x:v>68</x:v>
      </x:c>
      <x:c r="Y83" s="45" t="n">
        <x:f>RANK.EQ(X83,$X$5:$X$164,0)+COUNTIF($X$5:X83,X83)-1</x:f>
        <x:v>79</x:v>
      </x:c>
      <x:c r="Z83" s="43" t="str">
        <x:f>IF(Y83&lt;='Rules and Assumptions'!$M$5,"High",IF(Y83&lt;='Rules and Assumptions'!$M$6,"Medium","Low"))</x:f>
        <x:v>Medium</x:v>
      </x:c>
      <x:c r="AA83" s="43" t="str">
        <x:f>LOWER(TRIM(B83))</x:f>
        <x:v>ghgrp-1012083</x:v>
      </x:c>
      <x:c r="AB83" s="43" t="str">
        <x:f>IF(COUNTIF($AA$5:$AA$164,AA83)&gt;1,"Review","Unique")</x:f>
        <x:v>Unique</x:v>
      </x:c>
      <x:c r="AC83" s="47" t="str">
        <x:v>General commercial or institutional facility; validate site portfolio and purchasing authority.</x:v>
      </x:c>
      <x:c r="AD83" s="46" t="n">
        <x:v>45520</x:v>
      </x:c>
    </x:row>
    <x:row r="84">
      <x:c r="A84" s="41" t="str">
        <x:v>NE-080</x:v>
      </x:c>
      <x:c r="B84" s="41" t="str">
        <x:v>GHGRP-1005253</x:v>
      </x:c>
      <x:c r="C84" s="47" t="str">
        <x:v>JUNIPER RIDGE LANDFILL - Old Town, ME</x:v>
      </x:c>
      <x:c r="D84" s="47" t="str">
        <x:v>CASELLA WASTE SYSTEMS INC</x:v>
      </x:c>
      <x:c r="E84" s="47" t="str">
        <x:v>Waste</x:v>
      </x:c>
      <x:c r="F84" s="41" t="str">
        <x:v>562212</x:v>
      </x:c>
      <x:c r="G84" s="41" t="str">
        <x:v>Old Town</x:v>
      </x:c>
      <x:c r="H84" s="41" t="str">
        <x:v>ME</x:v>
      </x:c>
      <x:c r="I84" s="41" t="str">
        <x:v>04468</x:v>
      </x:c>
      <x:c r="J84" s="42" t="n">
        <x:v>69031.05</x:v>
      </x:c>
      <x:c r="K84" s="43" t="str">
        <x:f>VLOOKUP(J84,'Rules and Assumptions'!$H$5:$J$9,3,TRUE)</x:f>
        <x:v>Mid Reporting Load</x:v>
      </x:c>
      <x:c r="L84" s="47" t="str">
        <x:v>Director of Operations</x:v>
      </x:c>
      <x:c r="M84" s="47" t="str">
        <x:v>Facilities Manager</x:v>
      </x:c>
      <x:c r="N84" s="47" t="str">
        <x:v>Role identified; person not yet verified</x:v>
      </x:c>
      <x:c r="O84" s="47" t="str">
        <x:v>Waste and Environmental</x:v>
      </x:c>
      <x:c r="P84" s="47" t="str">
        <x:v>Sales Rep C - Northern New England</x:v>
      </x:c>
      <x:c r="Q84" s="47" t="str">
        <x:v>https://www.epa.gov/ghgreporting/data-sets</x:v>
      </x:c>
      <x:c r="R84" s="44" t="n">
        <x:v>1005253</x:v>
      </x:c>
      <x:c r="S84" s="45" t="n">
        <x:f>VLOOKUP(H84,'Rules and Assumptions'!$A$5:$B$10,2,FALSE)</x:f>
        <x:v>12</x:v>
      </x:c>
      <x:c r="T84" s="45" t="n">
        <x:f>VLOOKUP(E84,'Rules and Assumptions'!$D$5:$F$15,2,FALSE)</x:f>
        <x:v>20</x:v>
      </x:c>
      <x:c r="U84" s="45" t="n">
        <x:f>VLOOKUP(J84,'Rules and Assumptions'!$H$5:$J$9,2,TRUE)</x:f>
        <x:v>15</x:v>
      </x:c>
      <x:c r="V84" s="45" t="n">
        <x:f>IF(D84&lt;&gt;"",4,0)+IF(F84&lt;&gt;"",2,0)+IF(G84&lt;&gt;"",1,0)+IF(L84&lt;&gt;"",2,0)+IF(R84&lt;&gt;"",1,0)</x:f>
        <x:v>10</x:v>
      </x:c>
      <x:c r="W84" s="45" t="n">
        <x:f>VLOOKUP(E84,'Rules and Assumptions'!$D$5:$F$15,3,FALSE)</x:f>
        <x:v>9</x:v>
      </x:c>
      <x:c r="X84" s="45" t="n">
        <x:f>SUM(S84:W84)</x:f>
        <x:v>66</x:v>
      </x:c>
      <x:c r="Y84" s="45" t="n">
        <x:f>RANK.EQ(X84,$X$5:$X$164,0)+COUNTIF($X$5:X84,X84)-1</x:f>
        <x:v>80</x:v>
      </x:c>
      <x:c r="Z84" s="43" t="str">
        <x:f>IF(Y84&lt;='Rules and Assumptions'!$M$5,"High",IF(Y84&lt;='Rules and Assumptions'!$M$6,"Medium","Low"))</x:f>
        <x:v>Medium</x:v>
      </x:c>
      <x:c r="AA84" s="43" t="str">
        <x:f>LOWER(TRIM(B84))</x:f>
        <x:v>ghgrp-1005253</x:v>
      </x:c>
      <x:c r="AB84" s="43" t="str">
        <x:f>IF(COUNTIF($AA$5:$AA$164,AA84)&gt;1,"Review","Unique")</x:f>
        <x:v>Unique</x:v>
      </x:c>
      <x:c r="AC84" s="47" t="str">
        <x:v>Waste-sector facility; qualify electricity, natural-gas, and multi-site purchasing needs.</x:v>
      </x:c>
      <x:c r="AD84" s="46" t="n">
        <x:v>45520</x:v>
      </x:c>
    </x:row>
    <x:row r="85">
      <x:c r="A85" s="41" t="str">
        <x:v>NE-081</x:v>
      </x:c>
      <x:c r="B85" s="41" t="str">
        <x:v>GHGRP-1005261</x:v>
      </x:c>
      <x:c r="C85" s="47" t="str">
        <x:v>NEWSVT LANDFILL - Coventry, VT</x:v>
      </x:c>
      <x:c r="D85" s="47" t="str">
        <x:v>CASELLA WASTE SYSTEMS INC</x:v>
      </x:c>
      <x:c r="E85" s="47" t="str">
        <x:v>Waste</x:v>
      </x:c>
      <x:c r="F85" s="41" t="str">
        <x:v>562212</x:v>
      </x:c>
      <x:c r="G85" s="41" t="str">
        <x:v>Coventry</x:v>
      </x:c>
      <x:c r="H85" s="41" t="str">
        <x:v>VT</x:v>
      </x:c>
      <x:c r="I85" s="41" t="str">
        <x:v>05855</x:v>
      </x:c>
      <x:c r="J85" s="42" t="n">
        <x:v>62901.9</x:v>
      </x:c>
      <x:c r="K85" s="43" t="str">
        <x:f>VLOOKUP(J85,'Rules and Assumptions'!$H$5:$J$9,3,TRUE)</x:f>
        <x:v>Mid Reporting Load</x:v>
      </x:c>
      <x:c r="L85" s="47" t="str">
        <x:v>Director of Operations</x:v>
      </x:c>
      <x:c r="M85" s="47" t="str">
        <x:v>Facilities Manager</x:v>
      </x:c>
      <x:c r="N85" s="47" t="str">
        <x:v>Role identified; person not yet verified</x:v>
      </x:c>
      <x:c r="O85" s="47" t="str">
        <x:v>Waste and Environmental</x:v>
      </x:c>
      <x:c r="P85" s="47" t="str">
        <x:v>Sales Rep C - Northern New England</x:v>
      </x:c>
      <x:c r="Q85" s="47" t="str">
        <x:v>https://www.epa.gov/ghgreporting/data-sets</x:v>
      </x:c>
      <x:c r="R85" s="44" t="n">
        <x:v>1005261</x:v>
      </x:c>
      <x:c r="S85" s="45" t="n">
        <x:f>VLOOKUP(H85,'Rules and Assumptions'!$A$5:$B$10,2,FALSE)</x:f>
        <x:v>12</x:v>
      </x:c>
      <x:c r="T85" s="45" t="n">
        <x:f>VLOOKUP(E85,'Rules and Assumptions'!$D$5:$F$15,2,FALSE)</x:f>
        <x:v>20</x:v>
      </x:c>
      <x:c r="U85" s="45" t="n">
        <x:f>VLOOKUP(J85,'Rules and Assumptions'!$H$5:$J$9,2,TRUE)</x:f>
        <x:v>15</x:v>
      </x:c>
      <x:c r="V85" s="45" t="n">
        <x:f>IF(D85&lt;&gt;"",4,0)+IF(F85&lt;&gt;"",2,0)+IF(G85&lt;&gt;"",1,0)+IF(L85&lt;&gt;"",2,0)+IF(R85&lt;&gt;"",1,0)</x:f>
        <x:v>10</x:v>
      </x:c>
      <x:c r="W85" s="45" t="n">
        <x:f>VLOOKUP(E85,'Rules and Assumptions'!$D$5:$F$15,3,FALSE)</x:f>
        <x:v>9</x:v>
      </x:c>
      <x:c r="X85" s="45" t="n">
        <x:f>SUM(S85:W85)</x:f>
        <x:v>66</x:v>
      </x:c>
      <x:c r="Y85" s="45" t="n">
        <x:f>RANK.EQ(X85,$X$5:$X$164,0)+COUNTIF($X$5:X85,X85)-1</x:f>
        <x:v>81</x:v>
      </x:c>
      <x:c r="Z85" s="43" t="str">
        <x:f>IF(Y85&lt;='Rules and Assumptions'!$M$5,"High",IF(Y85&lt;='Rules and Assumptions'!$M$6,"Medium","Low"))</x:f>
        <x:v>Low</x:v>
      </x:c>
      <x:c r="AA85" s="43" t="str">
        <x:f>LOWER(TRIM(B85))</x:f>
        <x:v>ghgrp-1005261</x:v>
      </x:c>
      <x:c r="AB85" s="43" t="str">
        <x:f>IF(COUNTIF($AA$5:$AA$164,AA85)&gt;1,"Review","Unique")</x:f>
        <x:v>Unique</x:v>
      </x:c>
      <x:c r="AC85" s="47" t="str">
        <x:v>Waste-sector facility; qualify electricity, natural-gas, and multi-site purchasing needs.</x:v>
      </x:c>
      <x:c r="AD85" s="46" t="n">
        <x:v>45520</x:v>
      </x:c>
    </x:row>
    <x:row r="86">
      <x:c r="A86" s="41" t="str">
        <x:v>NE-082</x:v>
      </x:c>
      <x:c r="B86" s="41" t="str">
        <x:v>GHGRP-1005673</x:v>
      </x:c>
      <x:c r="C86" s="47" t="str">
        <x:v>REGIONAL WASTE SYSTEMS INCORPORATED - Portland, ME</x:v>
      </x:c>
      <x:c r="D86" s="47" t="str">
        <x:v>ECOMAINE</x:v>
      </x:c>
      <x:c r="E86" s="47" t="str">
        <x:v>Waste</x:v>
      </x:c>
      <x:c r="F86" s="41" t="str">
        <x:v>562213</x:v>
      </x:c>
      <x:c r="G86" s="41" t="str">
        <x:v>Portland</x:v>
      </x:c>
      <x:c r="H86" s="41" t="str">
        <x:v>ME</x:v>
      </x:c>
      <x:c r="I86" s="41" t="str">
        <x:v>04102</x:v>
      </x:c>
      <x:c r="J86" s="42" t="n">
        <x:v>62777.74</x:v>
      </x:c>
      <x:c r="K86" s="43" t="str">
        <x:f>VLOOKUP(J86,'Rules and Assumptions'!$H$5:$J$9,3,TRUE)</x:f>
        <x:v>Mid Reporting Load</x:v>
      </x:c>
      <x:c r="L86" s="47" t="str">
        <x:v>Director of Operations</x:v>
      </x:c>
      <x:c r="M86" s="47" t="str">
        <x:v>Facilities Manager</x:v>
      </x:c>
      <x:c r="N86" s="47" t="str">
        <x:v>Role identified; person not yet verified</x:v>
      </x:c>
      <x:c r="O86" s="47" t="str">
        <x:v>Waste and Environmental</x:v>
      </x:c>
      <x:c r="P86" s="47" t="str">
        <x:v>Sales Rep C - Northern New England</x:v>
      </x:c>
      <x:c r="Q86" s="47" t="str">
        <x:v>https://www.epa.gov/ghgreporting/data-sets</x:v>
      </x:c>
      <x:c r="R86" s="44" t="n">
        <x:v>1005673</x:v>
      </x:c>
      <x:c r="S86" s="45" t="n">
        <x:f>VLOOKUP(H86,'Rules and Assumptions'!$A$5:$B$10,2,FALSE)</x:f>
        <x:v>12</x:v>
      </x:c>
      <x:c r="T86" s="45" t="n">
        <x:f>VLOOKUP(E86,'Rules and Assumptions'!$D$5:$F$15,2,FALSE)</x:f>
        <x:v>20</x:v>
      </x:c>
      <x:c r="U86" s="45" t="n">
        <x:f>VLOOKUP(J86,'Rules and Assumptions'!$H$5:$J$9,2,TRUE)</x:f>
        <x:v>15</x:v>
      </x:c>
      <x:c r="V86" s="45" t="n">
        <x:f>IF(D86&lt;&gt;"",4,0)+IF(F86&lt;&gt;"",2,0)+IF(G86&lt;&gt;"",1,0)+IF(L86&lt;&gt;"",2,0)+IF(R86&lt;&gt;"",1,0)</x:f>
        <x:v>10</x:v>
      </x:c>
      <x:c r="W86" s="45" t="n">
        <x:f>VLOOKUP(E86,'Rules and Assumptions'!$D$5:$F$15,3,FALSE)</x:f>
        <x:v>9</x:v>
      </x:c>
      <x:c r="X86" s="45" t="n">
        <x:f>SUM(S86:W86)</x:f>
        <x:v>66</x:v>
      </x:c>
      <x:c r="Y86" s="45" t="n">
        <x:f>RANK.EQ(X86,$X$5:$X$164,0)+COUNTIF($X$5:X86,X86)-1</x:f>
        <x:v>82</x:v>
      </x:c>
      <x:c r="Z86" s="43" t="str">
        <x:f>IF(Y86&lt;='Rules and Assumptions'!$M$5,"High",IF(Y86&lt;='Rules and Assumptions'!$M$6,"Medium","Low"))</x:f>
        <x:v>Low</x:v>
      </x:c>
      <x:c r="AA86" s="43" t="str">
        <x:f>LOWER(TRIM(B86))</x:f>
        <x:v>ghgrp-1005673</x:v>
      </x:c>
      <x:c r="AB86" s="43" t="str">
        <x:f>IF(COUNTIF($AA$5:$AA$164,AA86)&gt;1,"Review","Unique")</x:f>
        <x:v>Unique</x:v>
      </x:c>
      <x:c r="AC86" s="47" t="str">
        <x:v>Waste-sector facility; qualify electricity, natural-gas, and multi-site purchasing needs.</x:v>
      </x:c>
      <x:c r="AD86" s="46" t="n">
        <x:v>45520</x:v>
      </x:c>
    </x:row>
    <x:row r="87">
      <x:c r="A87" s="41" t="str">
        <x:v>NE-083</x:v>
      </x:c>
      <x:c r="B87" s="41" t="str">
        <x:v>GHGRP-1006864</x:v>
      </x:c>
      <x:c r="C87" s="47" t="str">
        <x:v>Bellingham Power Generation LLC - Bellingham, MA</x:v>
      </x:c>
      <x:c r="D87" s="47" t="str">
        <x:v>Vistra Corp</x:v>
      </x:c>
      <x:c r="E87" s="47" t="str">
        <x:v>Power Plants</x:v>
      </x:c>
      <x:c r="F87" s="41" t="str">
        <x:v>221112</x:v>
      </x:c>
      <x:c r="G87" s="41" t="str">
        <x:v>Bellingham</x:v>
      </x:c>
      <x:c r="H87" s="41" t="str">
        <x:v>MA</x:v>
      </x:c>
      <x:c r="I87" s="41" t="str">
        <x:v>02019</x:v>
      </x:c>
      <x:c r="J87" s="42" t="n">
        <x:v>1217538.088</x:v>
      </x:c>
      <x:c r="K87" s="43" t="str">
        <x:f>VLOOKUP(J87,'Rules and Assumptions'!$H$5:$J$9,3,TRUE)</x:f>
        <x:v>Enterprise Reporting Load</x:v>
      </x:c>
      <x:c r="L87" s="47" t="str">
        <x:v>Plant Manager</x:v>
      </x:c>
      <x:c r="M87" s="47" t="str">
        <x:v>Director of Operations</x:v>
      </x:c>
      <x:c r="N87" s="47" t="str">
        <x:v>Role identified; person not yet verified</x:v>
      </x:c>
      <x:c r="O87" s="47" t="str">
        <x:v>Market Intelligence - Generation</x:v>
      </x:c>
      <x:c r="P87" s="47" t="str">
        <x:v>Sales Rep A - Massachusetts</x:v>
      </x:c>
      <x:c r="Q87" s="47" t="str">
        <x:v>https://www.epa.gov/ghgreporting/data-sets</x:v>
      </x:c>
      <x:c r="R87" s="44" t="n">
        <x:v>1006864</x:v>
      </x:c>
      <x:c r="S87" s="45" t="n">
        <x:f>VLOOKUP(H87,'Rules and Assumptions'!$A$5:$B$10,2,FALSE)</x:f>
        <x:v>20</x:v>
      </x:c>
      <x:c r="T87" s="45" t="n">
        <x:f>VLOOKUP(E87,'Rules and Assumptions'!$D$5:$F$15,2,FALSE)</x:f>
        <x:v>5</x:v>
      </x:c>
      <x:c r="U87" s="45" t="n">
        <x:f>VLOOKUP(J87,'Rules and Assumptions'!$H$5:$J$9,2,TRUE)</x:f>
        <x:v>30</x:v>
      </x:c>
      <x:c r="V87" s="45" t="n">
        <x:f>IF(D87&lt;&gt;"",4,0)+IF(F87&lt;&gt;"",2,0)+IF(G87&lt;&gt;"",1,0)+IF(L87&lt;&gt;"",2,0)+IF(R87&lt;&gt;"",1,0)</x:f>
        <x:v>10</x:v>
      </x:c>
      <x:c r="W87" s="45" t="n">
        <x:f>VLOOKUP(E87,'Rules and Assumptions'!$D$5:$F$15,3,FALSE)</x:f>
        <x:v>0</x:v>
      </x:c>
      <x:c r="X87" s="45" t="n">
        <x:f>SUM(S87:W87)</x:f>
        <x:v>65</x:v>
      </x:c>
      <x:c r="Y87" s="45" t="n">
        <x:f>RANK.EQ(X87,$X$5:$X$164,0)+COUNTIF($X$5:X87,X87)-1</x:f>
        <x:v>83</x:v>
      </x:c>
      <x:c r="Z87" s="43" t="str">
        <x:f>IF(Y87&lt;='Rules and Assumptions'!$M$5,"High",IF(Y87&lt;='Rules and Assumptions'!$M$6,"Medium","Low"))</x:f>
        <x:v>Low</x:v>
      </x:c>
      <x:c r="AA87" s="43" t="str">
        <x:f>LOWER(TRIM(B87))</x:f>
        <x:v>ghgrp-1006864</x:v>
      </x:c>
      <x:c r="AB87" s="43" t="str">
        <x:f>IF(COUNTIF($AA$5:$AA$164,AA87)&gt;1,"Review","Unique")</x:f>
        <x:v>Unique</x:v>
      </x:c>
      <x:c r="AC87" s="47" t="str">
        <x:v>Generation facility; low end-customer fit, retained for market context and qualification practice.</x:v>
      </x:c>
      <x:c r="AD87" s="46" t="n">
        <x:v>45520</x:v>
      </x:c>
    </x:row>
    <x:row r="88">
      <x:c r="A88" s="41" t="str">
        <x:v>NE-084</x:v>
      </x:c>
      <x:c r="B88" s="41" t="str">
        <x:v>GHGRP-1006657</x:v>
      </x:c>
      <x:c r="C88" s="47" t="str">
        <x:v>Blackstone Power Generation LLC - Blackstone, MA</x:v>
      </x:c>
      <x:c r="D88" s="47" t="str">
        <x:v>Vistra Corp</x:v>
      </x:c>
      <x:c r="E88" s="47" t="str">
        <x:v>Power Plants</x:v>
      </x:c>
      <x:c r="F88" s="41" t="str">
        <x:v>221112</x:v>
      </x:c>
      <x:c r="G88" s="41" t="str">
        <x:v>Blackstone</x:v>
      </x:c>
      <x:c r="H88" s="41" t="str">
        <x:v>MA</x:v>
      </x:c>
      <x:c r="I88" s="41" t="str">
        <x:v>01504</x:v>
      </x:c>
      <x:c r="J88" s="42" t="n">
        <x:v>1080446.796</x:v>
      </x:c>
      <x:c r="K88" s="43" t="str">
        <x:f>VLOOKUP(J88,'Rules and Assumptions'!$H$5:$J$9,3,TRUE)</x:f>
        <x:v>Enterprise Reporting Load</x:v>
      </x:c>
      <x:c r="L88" s="47" t="str">
        <x:v>Plant Manager</x:v>
      </x:c>
      <x:c r="M88" s="47" t="str">
        <x:v>Director of Operations</x:v>
      </x:c>
      <x:c r="N88" s="47" t="str">
        <x:v>Role identified; person not yet verified</x:v>
      </x:c>
      <x:c r="O88" s="47" t="str">
        <x:v>Market Intelligence - Generation</x:v>
      </x:c>
      <x:c r="P88" s="47" t="str">
        <x:v>Sales Rep A - Massachusetts</x:v>
      </x:c>
      <x:c r="Q88" s="47" t="str">
        <x:v>https://www.epa.gov/ghgreporting/data-sets</x:v>
      </x:c>
      <x:c r="R88" s="44" t="n">
        <x:v>1006657</x:v>
      </x:c>
      <x:c r="S88" s="45" t="n">
        <x:f>VLOOKUP(H88,'Rules and Assumptions'!$A$5:$B$10,2,FALSE)</x:f>
        <x:v>20</x:v>
      </x:c>
      <x:c r="T88" s="45" t="n">
        <x:f>VLOOKUP(E88,'Rules and Assumptions'!$D$5:$F$15,2,FALSE)</x:f>
        <x:v>5</x:v>
      </x:c>
      <x:c r="U88" s="45" t="n">
        <x:f>VLOOKUP(J88,'Rules and Assumptions'!$H$5:$J$9,2,TRUE)</x:f>
        <x:v>30</x:v>
      </x:c>
      <x:c r="V88" s="45" t="n">
        <x:f>IF(D88&lt;&gt;"",4,0)+IF(F88&lt;&gt;"",2,0)+IF(G88&lt;&gt;"",1,0)+IF(L88&lt;&gt;"",2,0)+IF(R88&lt;&gt;"",1,0)</x:f>
        <x:v>10</x:v>
      </x:c>
      <x:c r="W88" s="45" t="n">
        <x:f>VLOOKUP(E88,'Rules and Assumptions'!$D$5:$F$15,3,FALSE)</x:f>
        <x:v>0</x:v>
      </x:c>
      <x:c r="X88" s="45" t="n">
        <x:f>SUM(S88:W88)</x:f>
        <x:v>65</x:v>
      </x:c>
      <x:c r="Y88" s="45" t="n">
        <x:f>RANK.EQ(X88,$X$5:$X$164,0)+COUNTIF($X$5:X88,X88)-1</x:f>
        <x:v>84</x:v>
      </x:c>
      <x:c r="Z88" s="43" t="str">
        <x:f>IF(Y88&lt;='Rules and Assumptions'!$M$5,"High",IF(Y88&lt;='Rules and Assumptions'!$M$6,"Medium","Low"))</x:f>
        <x:v>Low</x:v>
      </x:c>
      <x:c r="AA88" s="43" t="str">
        <x:f>LOWER(TRIM(B88))</x:f>
        <x:v>ghgrp-1006657</x:v>
      </x:c>
      <x:c r="AB88" s="43" t="str">
        <x:f>IF(COUNTIF($AA$5:$AA$164,AA88)&gt;1,"Review","Unique")</x:f>
        <x:v>Unique</x:v>
      </x:c>
      <x:c r="AC88" s="47" t="str">
        <x:v>Generation facility; low end-customer fit, retained for market context and qualification practice.</x:v>
      </x:c>
      <x:c r="AD88" s="46" t="n">
        <x:v>45520</x:v>
      </x:c>
    </x:row>
    <x:row r="89">
      <x:c r="A89" s="41" t="str">
        <x:v>NE-085</x:v>
      </x:c>
      <x:c r="B89" s="41" t="str">
        <x:v>GHGRP-1001410</x:v>
      </x:c>
      <x:c r="C89" s="47" t="str">
        <x:v>Fore River Energy Center - Weymouth, MA</x:v>
      </x:c>
      <x:c r="D89" s="47" t="str">
        <x:v>CPN MANAGEMENT LP</x:v>
      </x:c>
      <x:c r="E89" s="47" t="str">
        <x:v>Power Plants</x:v>
      </x:c>
      <x:c r="F89" s="41" t="str">
        <x:v>221112</x:v>
      </x:c>
      <x:c r="G89" s="41" t="str">
        <x:v>Weymouth</x:v>
      </x:c>
      <x:c r="H89" s="41" t="str">
        <x:v>MA</x:v>
      </x:c>
      <x:c r="I89" s="41" t="str">
        <x:v>02191</x:v>
      </x:c>
      <x:c r="J89" s="42" t="n">
        <x:v>886336.582</x:v>
      </x:c>
      <x:c r="K89" s="43" t="str">
        <x:f>VLOOKUP(J89,'Rules and Assumptions'!$H$5:$J$9,3,TRUE)</x:f>
        <x:v>Enterprise Reporting Load</x:v>
      </x:c>
      <x:c r="L89" s="47" t="str">
        <x:v>Plant Manager</x:v>
      </x:c>
      <x:c r="M89" s="47" t="str">
        <x:v>Director of Operations</x:v>
      </x:c>
      <x:c r="N89" s="47" t="str">
        <x:v>Role identified; person not yet verified</x:v>
      </x:c>
      <x:c r="O89" s="47" t="str">
        <x:v>Market Intelligence - Generation</x:v>
      </x:c>
      <x:c r="P89" s="47" t="str">
        <x:v>Sales Rep A - Massachusetts</x:v>
      </x:c>
      <x:c r="Q89" s="47" t="str">
        <x:v>https://www.epa.gov/ghgreporting/data-sets</x:v>
      </x:c>
      <x:c r="R89" s="44" t="n">
        <x:v>1001410</x:v>
      </x:c>
      <x:c r="S89" s="45" t="n">
        <x:f>VLOOKUP(H89,'Rules and Assumptions'!$A$5:$B$10,2,FALSE)</x:f>
        <x:v>20</x:v>
      </x:c>
      <x:c r="T89" s="45" t="n">
        <x:f>VLOOKUP(E89,'Rules and Assumptions'!$D$5:$F$15,2,FALSE)</x:f>
        <x:v>5</x:v>
      </x:c>
      <x:c r="U89" s="45" t="n">
        <x:f>VLOOKUP(J89,'Rules and Assumptions'!$H$5:$J$9,2,TRUE)</x:f>
        <x:v>30</x:v>
      </x:c>
      <x:c r="V89" s="45" t="n">
        <x:f>IF(D89&lt;&gt;"",4,0)+IF(F89&lt;&gt;"",2,0)+IF(G89&lt;&gt;"",1,0)+IF(L89&lt;&gt;"",2,0)+IF(R89&lt;&gt;"",1,0)</x:f>
        <x:v>10</x:v>
      </x:c>
      <x:c r="W89" s="45" t="n">
        <x:f>VLOOKUP(E89,'Rules and Assumptions'!$D$5:$F$15,3,FALSE)</x:f>
        <x:v>0</x:v>
      </x:c>
      <x:c r="X89" s="45" t="n">
        <x:f>SUM(S89:W89)</x:f>
        <x:v>65</x:v>
      </x:c>
      <x:c r="Y89" s="45" t="n">
        <x:f>RANK.EQ(X89,$X$5:$X$164,0)+COUNTIF($X$5:X89,X89)-1</x:f>
        <x:v>85</x:v>
      </x:c>
      <x:c r="Z89" s="43" t="str">
        <x:f>IF(Y89&lt;='Rules and Assumptions'!$M$5,"High",IF(Y89&lt;='Rules and Assumptions'!$M$6,"Medium","Low"))</x:f>
        <x:v>Low</x:v>
      </x:c>
      <x:c r="AA89" s="43" t="str">
        <x:f>LOWER(TRIM(B89))</x:f>
        <x:v>ghgrp-1001410</x:v>
      </x:c>
      <x:c r="AB89" s="43" t="str">
        <x:f>IF(COUNTIF($AA$5:$AA$164,AA89)&gt;1,"Review","Unique")</x:f>
        <x:v>Unique</x:v>
      </x:c>
      <x:c r="AC89" s="47" t="str">
        <x:v>Generation facility; low end-customer fit, retained for market context and qualification practice.</x:v>
      </x:c>
      <x:c r="AD89" s="46" t="n">
        <x:v>45520</x:v>
      </x:c>
    </x:row>
    <x:row r="90">
      <x:c r="A90" s="41" t="str">
        <x:v>NE-086</x:v>
      </x:c>
      <x:c r="B90" s="41" t="str">
        <x:v>GHGRP-1000657</x:v>
      </x:c>
      <x:c r="C90" s="47" t="str">
        <x:v>Kendall Green Energy - Cambridge, MA</x:v>
      </x:c>
      <x:c r="D90" s="47" t="str">
        <x:v>VICINITY ENERGY INC</x:v>
      </x:c>
      <x:c r="E90" s="47" t="str">
        <x:v>Power Plants</x:v>
      </x:c>
      <x:c r="F90" s="41" t="str">
        <x:v>221112</x:v>
      </x:c>
      <x:c r="G90" s="41" t="str">
        <x:v>Cambridge</x:v>
      </x:c>
      <x:c r="H90" s="41" t="str">
        <x:v>MA</x:v>
      </x:c>
      <x:c r="I90" s="41" t="str">
        <x:v>02142</x:v>
      </x:c>
      <x:c r="J90" s="42" t="n">
        <x:v>788059.912</x:v>
      </x:c>
      <x:c r="K90" s="43" t="str">
        <x:f>VLOOKUP(J90,'Rules and Assumptions'!$H$5:$J$9,3,TRUE)</x:f>
        <x:v>Enterprise Reporting Load</x:v>
      </x:c>
      <x:c r="L90" s="47" t="str">
        <x:v>Plant Manager</x:v>
      </x:c>
      <x:c r="M90" s="47" t="str">
        <x:v>Director of Operations</x:v>
      </x:c>
      <x:c r="N90" s="47" t="str">
        <x:v>Role identified; person not yet verified</x:v>
      </x:c>
      <x:c r="O90" s="47" t="str">
        <x:v>Market Intelligence - Generation</x:v>
      </x:c>
      <x:c r="P90" s="47" t="str">
        <x:v>Sales Rep A - Massachusetts</x:v>
      </x:c>
      <x:c r="Q90" s="47" t="str">
        <x:v>https://www.epa.gov/ghgreporting/data-sets</x:v>
      </x:c>
      <x:c r="R90" s="44" t="n">
        <x:v>1000657</x:v>
      </x:c>
      <x:c r="S90" s="45" t="n">
        <x:f>VLOOKUP(H90,'Rules and Assumptions'!$A$5:$B$10,2,FALSE)</x:f>
        <x:v>20</x:v>
      </x:c>
      <x:c r="T90" s="45" t="n">
        <x:f>VLOOKUP(E90,'Rules and Assumptions'!$D$5:$F$15,2,FALSE)</x:f>
        <x:v>5</x:v>
      </x:c>
      <x:c r="U90" s="45" t="n">
        <x:f>VLOOKUP(J90,'Rules and Assumptions'!$H$5:$J$9,2,TRUE)</x:f>
        <x:v>30</x:v>
      </x:c>
      <x:c r="V90" s="45" t="n">
        <x:f>IF(D90&lt;&gt;"",4,0)+IF(F90&lt;&gt;"",2,0)+IF(G90&lt;&gt;"",1,0)+IF(L90&lt;&gt;"",2,0)+IF(R90&lt;&gt;"",1,0)</x:f>
        <x:v>10</x:v>
      </x:c>
      <x:c r="W90" s="45" t="n">
        <x:f>VLOOKUP(E90,'Rules and Assumptions'!$D$5:$F$15,3,FALSE)</x:f>
        <x:v>0</x:v>
      </x:c>
      <x:c r="X90" s="45" t="n">
        <x:f>SUM(S90:W90)</x:f>
        <x:v>65</x:v>
      </x:c>
      <x:c r="Y90" s="45" t="n">
        <x:f>RANK.EQ(X90,$X$5:$X$164,0)+COUNTIF($X$5:X90,X90)-1</x:f>
        <x:v>86</x:v>
      </x:c>
      <x:c r="Z90" s="43" t="str">
        <x:f>IF(Y90&lt;='Rules and Assumptions'!$M$5,"High",IF(Y90&lt;='Rules and Assumptions'!$M$6,"Medium","Low"))</x:f>
        <x:v>Low</x:v>
      </x:c>
      <x:c r="AA90" s="43" t="str">
        <x:f>LOWER(TRIM(B90))</x:f>
        <x:v>ghgrp-1000657</x:v>
      </x:c>
      <x:c r="AB90" s="43" t="str">
        <x:f>IF(COUNTIF($AA$5:$AA$164,AA90)&gt;1,"Review","Unique")</x:f>
        <x:v>Unique</x:v>
      </x:c>
      <x:c r="AC90" s="47" t="str">
        <x:v>Generation facility; low end-customer fit, retained for market context and qualification practice.</x:v>
      </x:c>
      <x:c r="AD90" s="46" t="n">
        <x:v>45520</x:v>
      </x:c>
    </x:row>
    <x:row r="91">
      <x:c r="A91" s="41" t="str">
        <x:v>NE-087</x:v>
      </x:c>
      <x:c r="B91" s="41" t="str">
        <x:v>GHGRP-1000653</x:v>
      </x:c>
      <x:c r="C91" s="47" t="str">
        <x:v>Mystic - Charlestown, MA</x:v>
      </x:c>
      <x:c r="D91" s="47" t="str">
        <x:v>CONSTELLATION ENERGY CORP</x:v>
      </x:c>
      <x:c r="E91" s="47" t="str">
        <x:v>Power Plants</x:v>
      </x:c>
      <x:c r="F91" s="41" t="str">
        <x:v>221112</x:v>
      </x:c>
      <x:c r="G91" s="41" t="str">
        <x:v>Charlestown</x:v>
      </x:c>
      <x:c r="H91" s="41" t="str">
        <x:v>MA</x:v>
      </x:c>
      <x:c r="I91" s="41" t="str">
        <x:v>02129</x:v>
      </x:c>
      <x:c r="J91" s="42" t="n">
        <x:v>528357.044</x:v>
      </x:c>
      <x:c r="K91" s="43" t="str">
        <x:f>VLOOKUP(J91,'Rules and Assumptions'!$H$5:$J$9,3,TRUE)</x:f>
        <x:v>Enterprise Reporting Load</x:v>
      </x:c>
      <x:c r="L91" s="47" t="str">
        <x:v>Plant Manager</x:v>
      </x:c>
      <x:c r="M91" s="47" t="str">
        <x:v>Director of Operations</x:v>
      </x:c>
      <x:c r="N91" s="47" t="str">
        <x:v>Role identified; person not yet verified</x:v>
      </x:c>
      <x:c r="O91" s="47" t="str">
        <x:v>Market Intelligence - Generation</x:v>
      </x:c>
      <x:c r="P91" s="47" t="str">
        <x:v>Sales Rep A - Massachusetts</x:v>
      </x:c>
      <x:c r="Q91" s="47" t="str">
        <x:v>https://www.epa.gov/ghgreporting/data-sets</x:v>
      </x:c>
      <x:c r="R91" s="44" t="n">
        <x:v>1000653</x:v>
      </x:c>
      <x:c r="S91" s="45" t="n">
        <x:f>VLOOKUP(H91,'Rules and Assumptions'!$A$5:$B$10,2,FALSE)</x:f>
        <x:v>20</x:v>
      </x:c>
      <x:c r="T91" s="45" t="n">
        <x:f>VLOOKUP(E91,'Rules and Assumptions'!$D$5:$F$15,2,FALSE)</x:f>
        <x:v>5</x:v>
      </x:c>
      <x:c r="U91" s="45" t="n">
        <x:f>VLOOKUP(J91,'Rules and Assumptions'!$H$5:$J$9,2,TRUE)</x:f>
        <x:v>30</x:v>
      </x:c>
      <x:c r="V91" s="45" t="n">
        <x:f>IF(D91&lt;&gt;"",4,0)+IF(F91&lt;&gt;"",2,0)+IF(G91&lt;&gt;"",1,0)+IF(L91&lt;&gt;"",2,0)+IF(R91&lt;&gt;"",1,0)</x:f>
        <x:v>10</x:v>
      </x:c>
      <x:c r="W91" s="45" t="n">
        <x:f>VLOOKUP(E91,'Rules and Assumptions'!$D$5:$F$15,3,FALSE)</x:f>
        <x:v>0</x:v>
      </x:c>
      <x:c r="X91" s="45" t="n">
        <x:f>SUM(S91:W91)</x:f>
        <x:v>65</x:v>
      </x:c>
      <x:c r="Y91" s="45" t="n">
        <x:f>RANK.EQ(X91,$X$5:$X$164,0)+COUNTIF($X$5:X91,X91)-1</x:f>
        <x:v>87</x:v>
      </x:c>
      <x:c r="Z91" s="43" t="str">
        <x:f>IF(Y91&lt;='Rules and Assumptions'!$M$5,"High",IF(Y91&lt;='Rules and Assumptions'!$M$6,"Medium","Low"))</x:f>
        <x:v>Low</x:v>
      </x:c>
      <x:c r="AA91" s="43" t="str">
        <x:f>LOWER(TRIM(B91))</x:f>
        <x:v>ghgrp-1000653</x:v>
      </x:c>
      <x:c r="AB91" s="43" t="str">
        <x:f>IF(COUNTIF($AA$5:$AA$164,AA91)&gt;1,"Review","Unique")</x:f>
        <x:v>Unique</x:v>
      </x:c>
      <x:c r="AC91" s="47" t="str">
        <x:v>Generation facility; low end-customer fit, retained for market context and qualification practice.</x:v>
      </x:c>
      <x:c r="AD91" s="46" t="n">
        <x:v>45520</x:v>
      </x:c>
    </x:row>
    <x:row r="92">
      <x:c r="A92" s="41" t="str">
        <x:v>NE-088</x:v>
      </x:c>
      <x:c r="B92" s="41" t="str">
        <x:v>GHGRP-1004084</x:v>
      </x:c>
      <x:c r="C92" s="47" t="str">
        <x:v>MOUNT CARBERRY LANDFILL - Berlin, NH</x:v>
      </x:c>
      <x:c r="D92" s="47" t="str">
        <x:v>ANDROSCOGGIN VALLEY REGIONAL REFUSE</x:v>
      </x:c>
      <x:c r="E92" s="47" t="str">
        <x:v>Waste</x:v>
      </x:c>
      <x:c r="F92" s="41" t="str">
        <x:v>562212</x:v>
      </x:c>
      <x:c r="G92" s="41" t="str">
        <x:v>Berlin</x:v>
      </x:c>
      <x:c r="H92" s="41" t="str">
        <x:v>NH</x:v>
      </x:c>
      <x:c r="I92" s="41" t="str">
        <x:v>03570</x:v>
      </x:c>
      <x:c r="J92" s="42" t="n">
        <x:v>49799.75</x:v>
      </x:c>
      <x:c r="K92" s="43" t="str">
        <x:f>VLOOKUP(J92,'Rules and Assumptions'!$H$5:$J$9,3,TRUE)</x:f>
        <x:v>Small Reporting Load</x:v>
      </x:c>
      <x:c r="L92" s="47" t="str">
        <x:v>Director of Operations</x:v>
      </x:c>
      <x:c r="M92" s="47" t="str">
        <x:v>Facilities Manager</x:v>
      </x:c>
      <x:c r="N92" s="47" t="str">
        <x:v>Role identified; person not yet verified</x:v>
      </x:c>
      <x:c r="O92" s="47" t="str">
        <x:v>Waste and Environmental</x:v>
      </x:c>
      <x:c r="P92" s="47" t="str">
        <x:v>Sales Rep C - Northern New England</x:v>
      </x:c>
      <x:c r="Q92" s="47" t="str">
        <x:v>https://www.epa.gov/ghgreporting/data-sets</x:v>
      </x:c>
      <x:c r="R92" s="44" t="n">
        <x:v>1004084</x:v>
      </x:c>
      <x:c r="S92" s="45" t="n">
        <x:f>VLOOKUP(H92,'Rules and Assumptions'!$A$5:$B$10,2,FALSE)</x:f>
        <x:v>16</x:v>
      </x:c>
      <x:c r="T92" s="45" t="n">
        <x:f>VLOOKUP(E92,'Rules and Assumptions'!$D$5:$F$15,2,FALSE)</x:f>
        <x:v>20</x:v>
      </x:c>
      <x:c r="U92" s="45" t="n">
        <x:f>VLOOKUP(J92,'Rules and Assumptions'!$H$5:$J$9,2,TRUE)</x:f>
        <x:v>10</x:v>
      </x:c>
      <x:c r="V92" s="45" t="n">
        <x:f>IF(D92&lt;&gt;"",4,0)+IF(F92&lt;&gt;"",2,0)+IF(G92&lt;&gt;"",1,0)+IF(L92&lt;&gt;"",2,0)+IF(R92&lt;&gt;"",1,0)</x:f>
        <x:v>10</x:v>
      </x:c>
      <x:c r="W92" s="45" t="n">
        <x:f>VLOOKUP(E92,'Rules and Assumptions'!$D$5:$F$15,3,FALSE)</x:f>
        <x:v>9</x:v>
      </x:c>
      <x:c r="X92" s="45" t="n">
        <x:f>SUM(S92:W92)</x:f>
        <x:v>65</x:v>
      </x:c>
      <x:c r="Y92" s="45" t="n">
        <x:f>RANK.EQ(X92,$X$5:$X$164,0)+COUNTIF($X$5:X92,X92)-1</x:f>
        <x:v>88</x:v>
      </x:c>
      <x:c r="Z92" s="43" t="str">
        <x:f>IF(Y92&lt;='Rules and Assumptions'!$M$5,"High",IF(Y92&lt;='Rules and Assumptions'!$M$6,"Medium","Low"))</x:f>
        <x:v>Low</x:v>
      </x:c>
      <x:c r="AA92" s="43" t="str">
        <x:f>LOWER(TRIM(B92))</x:f>
        <x:v>ghgrp-1004084</x:v>
      </x:c>
      <x:c r="AB92" s="43" t="str">
        <x:f>IF(COUNTIF($AA$5:$AA$164,AA92)&gt;1,"Review","Unique")</x:f>
        <x:v>Unique</x:v>
      </x:c>
      <x:c r="AC92" s="47" t="str">
        <x:v>Waste-sector facility; qualify electricity, natural-gas, and multi-site purchasing needs.</x:v>
      </x:c>
      <x:c r="AD92" s="46" t="n">
        <x:v>45520</x:v>
      </x:c>
    </x:row>
    <x:row r="93">
      <x:c r="A93" s="41" t="str">
        <x:v>NE-089</x:v>
      </x:c>
      <x:c r="B93" s="41" t="str">
        <x:v>GHGRP-1004751</x:v>
      </x:c>
      <x:c r="C93" s="47" t="str">
        <x:v>FOUR HILLS LANDFILL - Nashua, NH</x:v>
      </x:c>
      <x:c r="D93" s="47" t="str">
        <x:v>CITY OF NASHUA DEPARTMENT OF PUBLIC WORKS</x:v>
      </x:c>
      <x:c r="E93" s="47" t="str">
        <x:v>Waste</x:v>
      </x:c>
      <x:c r="F93" s="41" t="str">
        <x:v>562212</x:v>
      </x:c>
      <x:c r="G93" s="41" t="str">
        <x:v>Nashua</x:v>
      </x:c>
      <x:c r="H93" s="41" t="str">
        <x:v>NH</x:v>
      </x:c>
      <x:c r="I93" s="41" t="str">
        <x:v>03062</x:v>
      </x:c>
      <x:c r="J93" s="42" t="n">
        <x:v>10010.7</x:v>
      </x:c>
      <x:c r="K93" s="43" t="str">
        <x:f>VLOOKUP(J93,'Rules and Assumptions'!$H$5:$J$9,3,TRUE)</x:f>
        <x:v>Small Reporting Load</x:v>
      </x:c>
      <x:c r="L93" s="47" t="str">
        <x:v>Director of Operations</x:v>
      </x:c>
      <x:c r="M93" s="47" t="str">
        <x:v>Facilities Manager</x:v>
      </x:c>
      <x:c r="N93" s="47" t="str">
        <x:v>Role identified; person not yet verified</x:v>
      </x:c>
      <x:c r="O93" s="47" t="str">
        <x:v>Waste and Environmental</x:v>
      </x:c>
      <x:c r="P93" s="47" t="str">
        <x:v>Sales Rep C - Northern New England</x:v>
      </x:c>
      <x:c r="Q93" s="47" t="str">
        <x:v>https://www.epa.gov/ghgreporting/data-sets</x:v>
      </x:c>
      <x:c r="R93" s="44" t="n">
        <x:v>1004751</x:v>
      </x:c>
      <x:c r="S93" s="45" t="n">
        <x:f>VLOOKUP(H93,'Rules and Assumptions'!$A$5:$B$10,2,FALSE)</x:f>
        <x:v>16</x:v>
      </x:c>
      <x:c r="T93" s="45" t="n">
        <x:f>VLOOKUP(E93,'Rules and Assumptions'!$D$5:$F$15,2,FALSE)</x:f>
        <x:v>20</x:v>
      </x:c>
      <x:c r="U93" s="45" t="n">
        <x:f>VLOOKUP(J93,'Rules and Assumptions'!$H$5:$J$9,2,TRUE)</x:f>
        <x:v>10</x:v>
      </x:c>
      <x:c r="V93" s="45" t="n">
        <x:f>IF(D93&lt;&gt;"",4,0)+IF(F93&lt;&gt;"",2,0)+IF(G93&lt;&gt;"",1,0)+IF(L93&lt;&gt;"",2,0)+IF(R93&lt;&gt;"",1,0)</x:f>
        <x:v>10</x:v>
      </x:c>
      <x:c r="W93" s="45" t="n">
        <x:f>VLOOKUP(E93,'Rules and Assumptions'!$D$5:$F$15,3,FALSE)</x:f>
        <x:v>9</x:v>
      </x:c>
      <x:c r="X93" s="45" t="n">
        <x:f>SUM(S93:W93)</x:f>
        <x:v>65</x:v>
      </x:c>
      <x:c r="Y93" s="45" t="n">
        <x:f>RANK.EQ(X93,$X$5:$X$164,0)+COUNTIF($X$5:X93,X93)-1</x:f>
        <x:v>89</x:v>
      </x:c>
      <x:c r="Z93" s="43" t="str">
        <x:f>IF(Y93&lt;='Rules and Assumptions'!$M$5,"High",IF(Y93&lt;='Rules and Assumptions'!$M$6,"Medium","Low"))</x:f>
        <x:v>Low</x:v>
      </x:c>
      <x:c r="AA93" s="43" t="str">
        <x:f>LOWER(TRIM(B93))</x:f>
        <x:v>ghgrp-1004751</x:v>
      </x:c>
      <x:c r="AB93" s="43" t="str">
        <x:f>IF(COUNTIF($AA$5:$AA$164,AA93)&gt;1,"Review","Unique")</x:f>
        <x:v>Unique</x:v>
      </x:c>
      <x:c r="AC93" s="47" t="str">
        <x:v>Waste-sector facility; qualify electricity, natural-gas, and multi-site purchasing needs.</x:v>
      </x:c>
      <x:c r="AD93" s="46" t="n">
        <x:v>45520</x:v>
      </x:c>
    </x:row>
    <x:row r="94">
      <x:c r="A94" s="41" t="str">
        <x:v>NE-090</x:v>
      </x:c>
      <x:c r="B94" s="41" t="str">
        <x:v>GHGRP-1006421</x:v>
      </x:c>
      <x:c r="C94" s="47" t="str">
        <x:v>LEBANON LANDFILL AND RECYCLING CENTER - West Lebanon, NH</x:v>
      </x:c>
      <x:c r="D94" s="47" t="str">
        <x:v>CITY OF LEBANON NEW HAMPSHIRE</x:v>
      </x:c>
      <x:c r="E94" s="47" t="str">
        <x:v>Waste</x:v>
      </x:c>
      <x:c r="F94" s="41" t="str">
        <x:v>562212</x:v>
      </x:c>
      <x:c r="G94" s="41" t="str">
        <x:v>West Lebanon</x:v>
      </x:c>
      <x:c r="H94" s="41" t="str">
        <x:v>NH</x:v>
      </x:c>
      <x:c r="I94" s="41" t="str">
        <x:v>03784</x:v>
      </x:c>
      <x:c r="J94" s="42" t="n">
        <x:v>9028.4</x:v>
      </x:c>
      <x:c r="K94" s="43" t="str">
        <x:f>VLOOKUP(J94,'Rules and Assumptions'!$H$5:$J$9,3,TRUE)</x:f>
        <x:v>Small Reporting Load</x:v>
      </x:c>
      <x:c r="L94" s="47" t="str">
        <x:v>Director of Operations</x:v>
      </x:c>
      <x:c r="M94" s="47" t="str">
        <x:v>Facilities Manager</x:v>
      </x:c>
      <x:c r="N94" s="47" t="str">
        <x:v>Role identified; person not yet verified</x:v>
      </x:c>
      <x:c r="O94" s="47" t="str">
        <x:v>Waste and Environmental</x:v>
      </x:c>
      <x:c r="P94" s="47" t="str">
        <x:v>Sales Rep C - Northern New England</x:v>
      </x:c>
      <x:c r="Q94" s="47" t="str">
        <x:v>https://www.epa.gov/ghgreporting/data-sets</x:v>
      </x:c>
      <x:c r="R94" s="44" t="n">
        <x:v>1006421</x:v>
      </x:c>
      <x:c r="S94" s="45" t="n">
        <x:f>VLOOKUP(H94,'Rules and Assumptions'!$A$5:$B$10,2,FALSE)</x:f>
        <x:v>16</x:v>
      </x:c>
      <x:c r="T94" s="45" t="n">
        <x:f>VLOOKUP(E94,'Rules and Assumptions'!$D$5:$F$15,2,FALSE)</x:f>
        <x:v>20</x:v>
      </x:c>
      <x:c r="U94" s="45" t="n">
        <x:f>VLOOKUP(J94,'Rules and Assumptions'!$H$5:$J$9,2,TRUE)</x:f>
        <x:v>10</x:v>
      </x:c>
      <x:c r="V94" s="45" t="n">
        <x:f>IF(D94&lt;&gt;"",4,0)+IF(F94&lt;&gt;"",2,0)+IF(G94&lt;&gt;"",1,0)+IF(L94&lt;&gt;"",2,0)+IF(R94&lt;&gt;"",1,0)</x:f>
        <x:v>10</x:v>
      </x:c>
      <x:c r="W94" s="45" t="n">
        <x:f>VLOOKUP(E94,'Rules and Assumptions'!$D$5:$F$15,3,FALSE)</x:f>
        <x:v>9</x:v>
      </x:c>
      <x:c r="X94" s="45" t="n">
        <x:f>SUM(S94:W94)</x:f>
        <x:v>65</x:v>
      </x:c>
      <x:c r="Y94" s="45" t="n">
        <x:f>RANK.EQ(X94,$X$5:$X$164,0)+COUNTIF($X$5:X94,X94)-1</x:f>
        <x:v>90</x:v>
      </x:c>
      <x:c r="Z94" s="43" t="str">
        <x:f>IF(Y94&lt;='Rules and Assumptions'!$M$5,"High",IF(Y94&lt;='Rules and Assumptions'!$M$6,"Medium","Low"))</x:f>
        <x:v>Low</x:v>
      </x:c>
      <x:c r="AA94" s="43" t="str">
        <x:f>LOWER(TRIM(B94))</x:f>
        <x:v>ghgrp-1006421</x:v>
      </x:c>
      <x:c r="AB94" s="43" t="str">
        <x:f>IF(COUNTIF($AA$5:$AA$164,AA94)&gt;1,"Review","Unique")</x:f>
        <x:v>Unique</x:v>
      </x:c>
      <x:c r="AC94" s="47" t="str">
        <x:v>Waste-sector facility; qualify electricity, natural-gas, and multi-site purchasing needs.</x:v>
      </x:c>
      <x:c r="AD94" s="46" t="n">
        <x:v>45520</x:v>
      </x:c>
    </x:row>
    <x:row r="95">
      <x:c r="A95" s="41" t="str">
        <x:v>NE-091</x:v>
      </x:c>
      <x:c r="B95" s="41" t="str">
        <x:v>GHGRP-1006283</x:v>
      </x:c>
      <x:c r="C95" s="47" t="str">
        <x:v>RHODE ISLAND Resource Recovery Corporation - Johnston, RI</x:v>
      </x:c>
      <x:c r="D95" s="47" t="str">
        <x:v>RHODE ISLAND RESOURCE RECOVERY CORP</x:v>
      </x:c>
      <x:c r="E95" s="47" t="str">
        <x:v>Waste</x:v>
      </x:c>
      <x:c r="F95" s="41" t="str">
        <x:v>562212</x:v>
      </x:c>
      <x:c r="G95" s="41" t="str">
        <x:v>Johnston</x:v>
      </x:c>
      <x:c r="H95" s="41" t="str">
        <x:v>RI</x:v>
      </x:c>
      <x:c r="I95" s="41" t="str">
        <x:v>02919</x:v>
      </x:c>
      <x:c r="J95" s="42" t="n">
        <x:v>5354.146</x:v>
      </x:c>
      <x:c r="K95" s="43" t="str">
        <x:f>VLOOKUP(J95,'Rules and Assumptions'!$H$5:$J$9,3,TRUE)</x:f>
        <x:v>Small Reporting Load</x:v>
      </x:c>
      <x:c r="L95" s="47" t="str">
        <x:v>Director of Operations</x:v>
      </x:c>
      <x:c r="M95" s="47" t="str">
        <x:v>Facilities Manager</x:v>
      </x:c>
      <x:c r="N95" s="47" t="str">
        <x:v>Role identified; person not yet verified</x:v>
      </x:c>
      <x:c r="O95" s="47" t="str">
        <x:v>Waste and Environmental</x:v>
      </x:c>
      <x:c r="P95" s="47" t="str">
        <x:v>Sales Rep B - Connecticut/Rhode Island</x:v>
      </x:c>
      <x:c r="Q95" s="47" t="str">
        <x:v>https://www.epa.gov/ghgreporting/data-sets</x:v>
      </x:c>
      <x:c r="R95" s="44" t="n">
        <x:v>1006283</x:v>
      </x:c>
      <x:c r="S95" s="45" t="n">
        <x:f>VLOOKUP(H95,'Rules and Assumptions'!$A$5:$B$10,2,FALSE)</x:f>
        <x:v>16</x:v>
      </x:c>
      <x:c r="T95" s="45" t="n">
        <x:f>VLOOKUP(E95,'Rules and Assumptions'!$D$5:$F$15,2,FALSE)</x:f>
        <x:v>20</x:v>
      </x:c>
      <x:c r="U95" s="45" t="n">
        <x:f>VLOOKUP(J95,'Rules and Assumptions'!$H$5:$J$9,2,TRUE)</x:f>
        <x:v>10</x:v>
      </x:c>
      <x:c r="V95" s="45" t="n">
        <x:f>IF(D95&lt;&gt;"",4,0)+IF(F95&lt;&gt;"",2,0)+IF(G95&lt;&gt;"",1,0)+IF(L95&lt;&gt;"",2,0)+IF(R95&lt;&gt;"",1,0)</x:f>
        <x:v>10</x:v>
      </x:c>
      <x:c r="W95" s="45" t="n">
        <x:f>VLOOKUP(E95,'Rules and Assumptions'!$D$5:$F$15,3,FALSE)</x:f>
        <x:v>9</x:v>
      </x:c>
      <x:c r="X95" s="45" t="n">
        <x:f>SUM(S95:W95)</x:f>
        <x:v>65</x:v>
      </x:c>
      <x:c r="Y95" s="45" t="n">
        <x:f>RANK.EQ(X95,$X$5:$X$164,0)+COUNTIF($X$5:X95,X95)-1</x:f>
        <x:v>91</x:v>
      </x:c>
      <x:c r="Z95" s="43" t="str">
        <x:f>IF(Y95&lt;='Rules and Assumptions'!$M$5,"High",IF(Y95&lt;='Rules and Assumptions'!$M$6,"Medium","Low"))</x:f>
        <x:v>Low</x:v>
      </x:c>
      <x:c r="AA95" s="43" t="str">
        <x:f>LOWER(TRIM(B95))</x:f>
        <x:v>ghgrp-1006283</x:v>
      </x:c>
      <x:c r="AB95" s="43" t="str">
        <x:f>IF(COUNTIF($AA$5:$AA$164,AA95)&gt;1,"Review","Unique")</x:f>
        <x:v>Unique</x:v>
      </x:c>
      <x:c r="AC95" s="47" t="str">
        <x:v>Waste-sector facility; qualify electricity, natural-gas, and multi-site purchasing needs.</x:v>
      </x:c>
      <x:c r="AD95" s="46" t="n">
        <x:v>45520</x:v>
      </x:c>
    </x:row>
    <x:row r="96">
      <x:c r="A96" s="41" t="str">
        <x:v>NE-092</x:v>
      </x:c>
      <x:c r="B96" s="41" t="str">
        <x:v>GHGRP-1002017</x:v>
      </x:c>
      <x:c r="C96" s="47" t="str">
        <x:v>University of Maine - Orono, ME</x:v>
      </x:c>
      <x:c r="D96" s="47" t="str">
        <x:v>UNIVERSITY OF MAINE SYSTEM</x:v>
      </x:c>
      <x:c r="E96" s="47" t="str">
        <x:v>Other</x:v>
      </x:c>
      <x:c r="F96" s="41" t="str">
        <x:v>611310</x:v>
      </x:c>
      <x:c r="G96" s="41" t="str">
        <x:v>Orono</x:v>
      </x:c>
      <x:c r="H96" s="41" t="str">
        <x:v>ME</x:v>
      </x:c>
      <x:c r="I96" s="41" t="str">
        <x:v>04469</x:v>
      </x:c>
      <x:c r="J96" s="42" t="n">
        <x:v>27604.832</x:v>
      </x:c>
      <x:c r="K96" s="43" t="str">
        <x:f>VLOOKUP(J96,'Rules and Assumptions'!$H$5:$J$9,3,TRUE)</x:f>
        <x:v>Small Reporting Load</x:v>
      </x:c>
      <x:c r="L96" s="47" t="str">
        <x:v>Director of Facilities</x:v>
      </x:c>
      <x:c r="M96" s="47" t="str">
        <x:v>Energy and Sustainability Manager</x:v>
      </x:c>
      <x:c r="N96" s="47" t="str">
        <x:v>Role identified; person not yet verified</x:v>
      </x:c>
      <x:c r="O96" s="47" t="str">
        <x:v>Facilities and Institutions</x:v>
      </x:c>
      <x:c r="P96" s="47" t="str">
        <x:v>Sales Rep C - Northern New England</x:v>
      </x:c>
      <x:c r="Q96" s="47" t="str">
        <x:v>https://www.epa.gov/ghgreporting/data-sets</x:v>
      </x:c>
      <x:c r="R96" s="44" t="n">
        <x:v>1002017</x:v>
      </x:c>
      <x:c r="S96" s="45" t="n">
        <x:f>VLOOKUP(H96,'Rules and Assumptions'!$A$5:$B$10,2,FALSE)</x:f>
        <x:v>12</x:v>
      </x:c>
      <x:c r="T96" s="45" t="n">
        <x:f>VLOOKUP(E96,'Rules and Assumptions'!$D$5:$F$15,2,FALSE)</x:f>
        <x:v>22</x:v>
      </x:c>
      <x:c r="U96" s="45" t="n">
        <x:f>VLOOKUP(J96,'Rules and Assumptions'!$H$5:$J$9,2,TRUE)</x:f>
        <x:v>10</x:v>
      </x:c>
      <x:c r="V96" s="45" t="n">
        <x:f>IF(D96&lt;&gt;"",4,0)+IF(F96&lt;&gt;"",2,0)+IF(G96&lt;&gt;"",1,0)+IF(L96&lt;&gt;"",2,0)+IF(R96&lt;&gt;"",1,0)</x:f>
        <x:v>10</x:v>
      </x:c>
      <x:c r="W96" s="45" t="n">
        <x:f>VLOOKUP(E96,'Rules and Assumptions'!$D$5:$F$15,3,FALSE)</x:f>
        <x:v>10</x:v>
      </x:c>
      <x:c r="X96" s="45" t="n">
        <x:f>SUM(S96:W96)</x:f>
        <x:v>64</x:v>
      </x:c>
      <x:c r="Y96" s="45" t="n">
        <x:f>RANK.EQ(X96,$X$5:$X$164,0)+COUNTIF($X$5:X96,X96)-1</x:f>
        <x:v>92</x:v>
      </x:c>
      <x:c r="Z96" s="43" t="str">
        <x:f>IF(Y96&lt;='Rules and Assumptions'!$M$5,"High",IF(Y96&lt;='Rules and Assumptions'!$M$6,"Medium","Low"))</x:f>
        <x:v>Low</x:v>
      </x:c>
      <x:c r="AA96" s="43" t="str">
        <x:f>LOWER(TRIM(B96))</x:f>
        <x:v>ghgrp-1002017</x:v>
      </x:c>
      <x:c r="AB96" s="43" t="str">
        <x:f>IF(COUNTIF($AA$5:$AA$164,AA96)&gt;1,"Review","Unique")</x:f>
        <x:v>Unique</x:v>
      </x:c>
      <x:c r="AC96" s="47" t="str">
        <x:v>General commercial or institutional facility; validate site portfolio and purchasing authority.</x:v>
      </x:c>
      <x:c r="AD96" s="46" t="n">
        <x:v>45520</x:v>
      </x:c>
    </x:row>
    <x:row r="97">
      <x:c r="A97" s="41" t="str">
        <x:v>NE-093</x:v>
      </x:c>
      <x:c r="B97" s="41" t="str">
        <x:v>GHGRP-1002803</x:v>
      </x:c>
      <x:c r="C97" s="47" t="str">
        <x:v>University of Vermont and State Agricultural College - Burlington, VT</x:v>
      </x:c>
      <x:c r="D97" s="47" t="str">
        <x:v>UNIVERSITY OF VERMONT &amp; STATE AGRICULTURAL COLLEGE</x:v>
      </x:c>
      <x:c r="E97" s="47" t="str">
        <x:v>Other</x:v>
      </x:c>
      <x:c r="F97" s="41" t="str">
        <x:v>611310</x:v>
      </x:c>
      <x:c r="G97" s="41" t="str">
        <x:v>Burlington</x:v>
      </x:c>
      <x:c r="H97" s="41" t="str">
        <x:v>VT</x:v>
      </x:c>
      <x:c r="I97" s="41" t="str">
        <x:v>05405</x:v>
      </x:c>
      <x:c r="J97" s="42" t="n">
        <x:v>26908.246</x:v>
      </x:c>
      <x:c r="K97" s="43" t="str">
        <x:f>VLOOKUP(J97,'Rules and Assumptions'!$H$5:$J$9,3,TRUE)</x:f>
        <x:v>Small Reporting Load</x:v>
      </x:c>
      <x:c r="L97" s="47" t="str">
        <x:v>Director of Facilities</x:v>
      </x:c>
      <x:c r="M97" s="47" t="str">
        <x:v>Energy and Sustainability Manager</x:v>
      </x:c>
      <x:c r="N97" s="47" t="str">
        <x:v>Role identified; person not yet verified</x:v>
      </x:c>
      <x:c r="O97" s="47" t="str">
        <x:v>Facilities and Institutions</x:v>
      </x:c>
      <x:c r="P97" s="47" t="str">
        <x:v>Sales Rep C - Northern New England</x:v>
      </x:c>
      <x:c r="Q97" s="47" t="str">
        <x:v>https://www.epa.gov/ghgreporting/data-sets</x:v>
      </x:c>
      <x:c r="R97" s="44" t="n">
        <x:v>1002803</x:v>
      </x:c>
      <x:c r="S97" s="45" t="n">
        <x:f>VLOOKUP(H97,'Rules and Assumptions'!$A$5:$B$10,2,FALSE)</x:f>
        <x:v>12</x:v>
      </x:c>
      <x:c r="T97" s="45" t="n">
        <x:f>VLOOKUP(E97,'Rules and Assumptions'!$D$5:$F$15,2,FALSE)</x:f>
        <x:v>22</x:v>
      </x:c>
      <x:c r="U97" s="45" t="n">
        <x:f>VLOOKUP(J97,'Rules and Assumptions'!$H$5:$J$9,2,TRUE)</x:f>
        <x:v>10</x:v>
      </x:c>
      <x:c r="V97" s="45" t="n">
        <x:f>IF(D97&lt;&gt;"",4,0)+IF(F97&lt;&gt;"",2,0)+IF(G97&lt;&gt;"",1,0)+IF(L97&lt;&gt;"",2,0)+IF(R97&lt;&gt;"",1,0)</x:f>
        <x:v>10</x:v>
      </x:c>
      <x:c r="W97" s="45" t="n">
        <x:f>VLOOKUP(E97,'Rules and Assumptions'!$D$5:$F$15,3,FALSE)</x:f>
        <x:v>10</x:v>
      </x:c>
      <x:c r="X97" s="45" t="n">
        <x:f>SUM(S97:W97)</x:f>
        <x:v>64</x:v>
      </x:c>
      <x:c r="Y97" s="45" t="n">
        <x:f>RANK.EQ(X97,$X$5:$X$164,0)+COUNTIF($X$5:X97,X97)-1</x:f>
        <x:v>93</x:v>
      </x:c>
      <x:c r="Z97" s="43" t="str">
        <x:f>IF(Y97&lt;='Rules and Assumptions'!$M$5,"High",IF(Y97&lt;='Rules and Assumptions'!$M$6,"Medium","Low"))</x:f>
        <x:v>Low</x:v>
      </x:c>
      <x:c r="AA97" s="43" t="str">
        <x:f>LOWER(TRIM(B97))</x:f>
        <x:v>ghgrp-1002803</x:v>
      </x:c>
      <x:c r="AB97" s="43" t="str">
        <x:f>IF(COUNTIF($AA$5:$AA$164,AA97)&gt;1,"Review","Unique")</x:f>
        <x:v>Unique</x:v>
      </x:c>
      <x:c r="AC97" s="47" t="str">
        <x:v>General commercial or institutional facility; validate site portfolio and purchasing authority.</x:v>
      </x:c>
      <x:c r="AD97" s="46" t="n">
        <x:v>45520</x:v>
      </x:c>
    </x:row>
    <x:row r="98">
      <x:c r="A98" s="41" t="str">
        <x:v>NE-094</x:v>
      </x:c>
      <x:c r="B98" s="41" t="str">
        <x:v>GHGRP-1011251</x:v>
      </x:c>
      <x:c r="C98" s="47" t="str">
        <x:v>Omya Inc. (Verpol) - Florence, VT</x:v>
      </x:c>
      <x:c r="D98" s="47" t="str">
        <x:v>OMYA INDUSTRIES INC</x:v>
      </x:c>
      <x:c r="E98" s="47" t="str">
        <x:v>Other</x:v>
      </x:c>
      <x:c r="F98" s="41" t="str">
        <x:v>212312</x:v>
      </x:c>
      <x:c r="G98" s="41" t="str">
        <x:v>Florence</x:v>
      </x:c>
      <x:c r="H98" s="41" t="str">
        <x:v>VT</x:v>
      </x:c>
      <x:c r="I98" s="41" t="str">
        <x:v>05701</x:v>
      </x:c>
      <x:c r="J98" s="42" t="n">
        <x:v>25019.956</x:v>
      </x:c>
      <x:c r="K98" s="43" t="str">
        <x:f>VLOOKUP(J98,'Rules and Assumptions'!$H$5:$J$9,3,TRUE)</x:f>
        <x:v>Small Reporting Load</x:v>
      </x:c>
      <x:c r="L98" s="47" t="str">
        <x:v>Director of Facilities</x:v>
      </x:c>
      <x:c r="M98" s="47" t="str">
        <x:v>Energy and Sustainability Manager</x:v>
      </x:c>
      <x:c r="N98" s="47" t="str">
        <x:v>Role identified; person not yet verified</x:v>
      </x:c>
      <x:c r="O98" s="47" t="str">
        <x:v>Facilities and Institutions</x:v>
      </x:c>
      <x:c r="P98" s="47" t="str">
        <x:v>Sales Rep C - Northern New England</x:v>
      </x:c>
      <x:c r="Q98" s="47" t="str">
        <x:v>https://www.epa.gov/ghgreporting/data-sets</x:v>
      </x:c>
      <x:c r="R98" s="44" t="n">
        <x:v>1011251</x:v>
      </x:c>
      <x:c r="S98" s="45" t="n">
        <x:f>VLOOKUP(H98,'Rules and Assumptions'!$A$5:$B$10,2,FALSE)</x:f>
        <x:v>12</x:v>
      </x:c>
      <x:c r="T98" s="45" t="n">
        <x:f>VLOOKUP(E98,'Rules and Assumptions'!$D$5:$F$15,2,FALSE)</x:f>
        <x:v>22</x:v>
      </x:c>
      <x:c r="U98" s="45" t="n">
        <x:f>VLOOKUP(J98,'Rules and Assumptions'!$H$5:$J$9,2,TRUE)</x:f>
        <x:v>10</x:v>
      </x:c>
      <x:c r="V98" s="45" t="n">
        <x:f>IF(D98&lt;&gt;"",4,0)+IF(F98&lt;&gt;"",2,0)+IF(G98&lt;&gt;"",1,0)+IF(L98&lt;&gt;"",2,0)+IF(R98&lt;&gt;"",1,0)</x:f>
        <x:v>10</x:v>
      </x:c>
      <x:c r="W98" s="45" t="n">
        <x:f>VLOOKUP(E98,'Rules and Assumptions'!$D$5:$F$15,3,FALSE)</x:f>
        <x:v>10</x:v>
      </x:c>
      <x:c r="X98" s="45" t="n">
        <x:f>SUM(S98:W98)</x:f>
        <x:v>64</x:v>
      </x:c>
      <x:c r="Y98" s="45" t="n">
        <x:f>RANK.EQ(X98,$X$5:$X$164,0)+COUNTIF($X$5:X98,X98)-1</x:f>
        <x:v>94</x:v>
      </x:c>
      <x:c r="Z98" s="43" t="str">
        <x:f>IF(Y98&lt;='Rules and Assumptions'!$M$5,"High",IF(Y98&lt;='Rules and Assumptions'!$M$6,"Medium","Low"))</x:f>
        <x:v>Low</x:v>
      </x:c>
      <x:c r="AA98" s="43" t="str">
        <x:f>LOWER(TRIM(B98))</x:f>
        <x:v>ghgrp-1011251</x:v>
      </x:c>
      <x:c r="AB98" s="43" t="str">
        <x:f>IF(COUNTIF($AA$5:$AA$164,AA98)&gt;1,"Review","Unique")</x:f>
        <x:v>Unique</x:v>
      </x:c>
      <x:c r="AC98" s="47" t="str">
        <x:v>General commercial or institutional facility; validate site portfolio and purchasing authority.</x:v>
      </x:c>
      <x:c r="AD98" s="46" t="n">
        <x:v>45520</x:v>
      </x:c>
    </x:row>
    <x:row r="99">
      <x:c r="A99" s="41" t="str">
        <x:v>NE-095</x:v>
      </x:c>
      <x:c r="B99" s="41" t="str">
        <x:v>GHGRP-1013349</x:v>
      </x:c>
      <x:c r="C99" s="47" t="str">
        <x:v>Northern Light - Eastern Maine Medical Center - Bangor, ME</x:v>
      </x:c>
      <x:c r="D99" s="47" t="str">
        <x:v>NORTHERN LIGHT HEALTH</x:v>
      </x:c>
      <x:c r="E99" s="47" t="str">
        <x:v>Other</x:v>
      </x:c>
      <x:c r="F99" s="41" t="str">
        <x:v>622110</x:v>
      </x:c>
      <x:c r="G99" s="41" t="str">
        <x:v>Bangor</x:v>
      </x:c>
      <x:c r="H99" s="41" t="str">
        <x:v>ME</x:v>
      </x:c>
      <x:c r="I99" s="41" t="str">
        <x:v>04401</x:v>
      </x:c>
      <x:c r="J99" s="42" t="n">
        <x:v>24023.36</x:v>
      </x:c>
      <x:c r="K99" s="43" t="str">
        <x:f>VLOOKUP(J99,'Rules and Assumptions'!$H$5:$J$9,3,TRUE)</x:f>
        <x:v>Small Reporting Load</x:v>
      </x:c>
      <x:c r="L99" s="47" t="str">
        <x:v>Director of Facilities</x:v>
      </x:c>
      <x:c r="M99" s="47" t="str">
        <x:v>Energy and Sustainability Manager</x:v>
      </x:c>
      <x:c r="N99" s="47" t="str">
        <x:v>Role identified; person not yet verified</x:v>
      </x:c>
      <x:c r="O99" s="47" t="str">
        <x:v>Facilities and Institutions</x:v>
      </x:c>
      <x:c r="P99" s="47" t="str">
        <x:v>Sales Rep C - Northern New England</x:v>
      </x:c>
      <x:c r="Q99" s="47" t="str">
        <x:v>https://www.epa.gov/ghgreporting/data-sets</x:v>
      </x:c>
      <x:c r="R99" s="44" t="n">
        <x:v>1013349</x:v>
      </x:c>
      <x:c r="S99" s="45" t="n">
        <x:f>VLOOKUP(H99,'Rules and Assumptions'!$A$5:$B$10,2,FALSE)</x:f>
        <x:v>12</x:v>
      </x:c>
      <x:c r="T99" s="45" t="n">
        <x:f>VLOOKUP(E99,'Rules and Assumptions'!$D$5:$F$15,2,FALSE)</x:f>
        <x:v>22</x:v>
      </x:c>
      <x:c r="U99" s="45" t="n">
        <x:f>VLOOKUP(J99,'Rules and Assumptions'!$H$5:$J$9,2,TRUE)</x:f>
        <x:v>10</x:v>
      </x:c>
      <x:c r="V99" s="45" t="n">
        <x:f>IF(D99&lt;&gt;"",4,0)+IF(F99&lt;&gt;"",2,0)+IF(G99&lt;&gt;"",1,0)+IF(L99&lt;&gt;"",2,0)+IF(R99&lt;&gt;"",1,0)</x:f>
        <x:v>10</x:v>
      </x:c>
      <x:c r="W99" s="45" t="n">
        <x:f>VLOOKUP(E99,'Rules and Assumptions'!$D$5:$F$15,3,FALSE)</x:f>
        <x:v>10</x:v>
      </x:c>
      <x:c r="X99" s="45" t="n">
        <x:f>SUM(S99:W99)</x:f>
        <x:v>64</x:v>
      </x:c>
      <x:c r="Y99" s="45" t="n">
        <x:f>RANK.EQ(X99,$X$5:$X$164,0)+COUNTIF($X$5:X99,X99)-1</x:f>
        <x:v>95</x:v>
      </x:c>
      <x:c r="Z99" s="43" t="str">
        <x:f>IF(Y99&lt;='Rules and Assumptions'!$M$5,"High",IF(Y99&lt;='Rules and Assumptions'!$M$6,"Medium","Low"))</x:f>
        <x:v>Low</x:v>
      </x:c>
      <x:c r="AA99" s="43" t="str">
        <x:f>LOWER(TRIM(B99))</x:f>
        <x:v>ghgrp-1013349</x:v>
      </x:c>
      <x:c r="AB99" s="43" t="str">
        <x:f>IF(COUNTIF($AA$5:$AA$164,AA99)&gt;1,"Review","Unique")</x:f>
        <x:v>Unique</x:v>
      </x:c>
      <x:c r="AC99" s="47" t="str">
        <x:v>General commercial or institutional facility; validate site portfolio and purchasing authority.</x:v>
      </x:c>
      <x:c r="AD99" s="46" t="n">
        <x:v>45520</x:v>
      </x:c>
    </x:row>
    <x:row r="100">
      <x:c r="A100" s="41" t="str">
        <x:v>NE-096</x:v>
      </x:c>
      <x:c r="B100" s="41" t="str">
        <x:v>GHGRP-1013584</x:v>
      </x:c>
      <x:c r="C100" s="47" t="str">
        <x:v>Pioneer Plastics Corporation - Auburn, ME</x:v>
      </x:c>
      <x:c r="D100" s="47" t="str">
        <x:v>PANOLAM INDUSTRIES INTERNATIONAL INC</x:v>
      </x:c>
      <x:c r="E100" s="47" t="str">
        <x:v>Other</x:v>
      </x:c>
      <x:c r="F100" s="41" t="str">
        <x:v>326130</x:v>
      </x:c>
      <x:c r="G100" s="41" t="str">
        <x:v>Auburn</x:v>
      </x:c>
      <x:c r="H100" s="41" t="str">
        <x:v>ME</x:v>
      </x:c>
      <x:c r="I100" s="41" t="str">
        <x:v>04210</x:v>
      </x:c>
      <x:c r="J100" s="42" t="n">
        <x:v>22346.172</x:v>
      </x:c>
      <x:c r="K100" s="43" t="str">
        <x:f>VLOOKUP(J100,'Rules and Assumptions'!$H$5:$J$9,3,TRUE)</x:f>
        <x:v>Small Reporting Load</x:v>
      </x:c>
      <x:c r="L100" s="47" t="str">
        <x:v>Director of Facilities</x:v>
      </x:c>
      <x:c r="M100" s="47" t="str">
        <x:v>Energy and Sustainability Manager</x:v>
      </x:c>
      <x:c r="N100" s="47" t="str">
        <x:v>Role identified; person not yet verified</x:v>
      </x:c>
      <x:c r="O100" s="47" t="str">
        <x:v>Facilities and Institutions</x:v>
      </x:c>
      <x:c r="P100" s="47" t="str">
        <x:v>Sales Rep C - Northern New England</x:v>
      </x:c>
      <x:c r="Q100" s="47" t="str">
        <x:v>https://www.epa.gov/ghgreporting/data-sets</x:v>
      </x:c>
      <x:c r="R100" s="44" t="n">
        <x:v>1013584</x:v>
      </x:c>
      <x:c r="S100" s="45" t="n">
        <x:f>VLOOKUP(H100,'Rules and Assumptions'!$A$5:$B$10,2,FALSE)</x:f>
        <x:v>12</x:v>
      </x:c>
      <x:c r="T100" s="45" t="n">
        <x:f>VLOOKUP(E100,'Rules and Assumptions'!$D$5:$F$15,2,FALSE)</x:f>
        <x:v>22</x:v>
      </x:c>
      <x:c r="U100" s="45" t="n">
        <x:f>VLOOKUP(J100,'Rules and Assumptions'!$H$5:$J$9,2,TRUE)</x:f>
        <x:v>10</x:v>
      </x:c>
      <x:c r="V100" s="45" t="n">
        <x:f>IF(D100&lt;&gt;"",4,0)+IF(F100&lt;&gt;"",2,0)+IF(G100&lt;&gt;"",1,0)+IF(L100&lt;&gt;"",2,0)+IF(R100&lt;&gt;"",1,0)</x:f>
        <x:v>10</x:v>
      </x:c>
      <x:c r="W100" s="45" t="n">
        <x:f>VLOOKUP(E100,'Rules and Assumptions'!$D$5:$F$15,3,FALSE)</x:f>
        <x:v>10</x:v>
      </x:c>
      <x:c r="X100" s="45" t="n">
        <x:f>SUM(S100:W100)</x:f>
        <x:v>64</x:v>
      </x:c>
      <x:c r="Y100" s="45" t="n">
        <x:f>RANK.EQ(X100,$X$5:$X$164,0)+COUNTIF($X$5:X100,X100)-1</x:f>
        <x:v>96</x:v>
      </x:c>
      <x:c r="Z100" s="43" t="str">
        <x:f>IF(Y100&lt;='Rules and Assumptions'!$M$5,"High",IF(Y100&lt;='Rules and Assumptions'!$M$6,"Medium","Low"))</x:f>
        <x:v>Low</x:v>
      </x:c>
      <x:c r="AA100" s="43" t="str">
        <x:f>LOWER(TRIM(B100))</x:f>
        <x:v>ghgrp-1013584</x:v>
      </x:c>
      <x:c r="AB100" s="43" t="str">
        <x:f>IF(COUNTIF($AA$5:$AA$164,AA100)&gt;1,"Review","Unique")</x:f>
        <x:v>Unique</x:v>
      </x:c>
      <x:c r="AC100" s="47" t="str">
        <x:v>General commercial or institutional facility; validate site portfolio and purchasing authority.</x:v>
      </x:c>
      <x:c r="AD100" s="46" t="n">
        <x:v>45520</x:v>
      </x:c>
    </x:row>
    <x:row r="101">
      <x:c r="A101" s="41" t="str">
        <x:v>NE-097</x:v>
      </x:c>
      <x:c r="B101" s="41" t="str">
        <x:v>GHGRP-1009581</x:v>
      </x:c>
      <x:c r="C101" s="47" t="str">
        <x:v>Diodes US Manufacturing Incorporated - South Portland, ME</x:v>
      </x:c>
      <x:c r="D101" s="47" t="str">
        <x:v>DIODES INC</x:v>
      </x:c>
      <x:c r="E101" s="47" t="str">
        <x:v>Other</x:v>
      </x:c>
      <x:c r="F101" s="41" t="str">
        <x:v>334413</x:v>
      </x:c>
      <x:c r="G101" s="41" t="str">
        <x:v>South Portland</x:v>
      </x:c>
      <x:c r="H101" s="41" t="str">
        <x:v>ME</x:v>
      </x:c>
      <x:c r="I101" s="41" t="str">
        <x:v>04106</x:v>
      </x:c>
      <x:c r="J101" s="42" t="n">
        <x:v>20237.05797</x:v>
      </x:c>
      <x:c r="K101" s="43" t="str">
        <x:f>VLOOKUP(J101,'Rules and Assumptions'!$H$5:$J$9,3,TRUE)</x:f>
        <x:v>Small Reporting Load</x:v>
      </x:c>
      <x:c r="L101" s="47" t="str">
        <x:v>Director of Facilities</x:v>
      </x:c>
      <x:c r="M101" s="47" t="str">
        <x:v>Energy and Sustainability Manager</x:v>
      </x:c>
      <x:c r="N101" s="47" t="str">
        <x:v>Role identified; person not yet verified</x:v>
      </x:c>
      <x:c r="O101" s="47" t="str">
        <x:v>Facilities and Institutions</x:v>
      </x:c>
      <x:c r="P101" s="47" t="str">
        <x:v>Sales Rep C - Northern New England</x:v>
      </x:c>
      <x:c r="Q101" s="47" t="str">
        <x:v>https://www.epa.gov/ghgreporting/data-sets</x:v>
      </x:c>
      <x:c r="R101" s="44" t="n">
        <x:v>1009581</x:v>
      </x:c>
      <x:c r="S101" s="45" t="n">
        <x:f>VLOOKUP(H101,'Rules and Assumptions'!$A$5:$B$10,2,FALSE)</x:f>
        <x:v>12</x:v>
      </x:c>
      <x:c r="T101" s="45" t="n">
        <x:f>VLOOKUP(E101,'Rules and Assumptions'!$D$5:$F$15,2,FALSE)</x:f>
        <x:v>22</x:v>
      </x:c>
      <x:c r="U101" s="45" t="n">
        <x:f>VLOOKUP(J101,'Rules and Assumptions'!$H$5:$J$9,2,TRUE)</x:f>
        <x:v>10</x:v>
      </x:c>
      <x:c r="V101" s="45" t="n">
        <x:f>IF(D101&lt;&gt;"",4,0)+IF(F101&lt;&gt;"",2,0)+IF(G101&lt;&gt;"",1,0)+IF(L101&lt;&gt;"",2,0)+IF(R101&lt;&gt;"",1,0)</x:f>
        <x:v>10</x:v>
      </x:c>
      <x:c r="W101" s="45" t="n">
        <x:f>VLOOKUP(E101,'Rules and Assumptions'!$D$5:$F$15,3,FALSE)</x:f>
        <x:v>10</x:v>
      </x:c>
      <x:c r="X101" s="45" t="n">
        <x:f>SUM(S101:W101)</x:f>
        <x:v>64</x:v>
      </x:c>
      <x:c r="Y101" s="45" t="n">
        <x:f>RANK.EQ(X101,$X$5:$X$164,0)+COUNTIF($X$5:X101,X101)-1</x:f>
        <x:v>97</x:v>
      </x:c>
      <x:c r="Z101" s="43" t="str">
        <x:f>IF(Y101&lt;='Rules and Assumptions'!$M$5,"High",IF(Y101&lt;='Rules and Assumptions'!$M$6,"Medium","Low"))</x:f>
        <x:v>Low</x:v>
      </x:c>
      <x:c r="AA101" s="43" t="str">
        <x:f>LOWER(TRIM(B101))</x:f>
        <x:v>ghgrp-1009581</x:v>
      </x:c>
      <x:c r="AB101" s="43" t="str">
        <x:f>IF(COUNTIF($AA$5:$AA$164,AA101)&gt;1,"Review","Unique")</x:f>
        <x:v>Unique</x:v>
      </x:c>
      <x:c r="AC101" s="47" t="str">
        <x:v>General commercial or institutional facility; validate site portfolio and purchasing authority.</x:v>
      </x:c>
      <x:c r="AD101" s="46" t="n">
        <x:v>45520</x:v>
      </x:c>
    </x:row>
    <x:row r="102">
      <x:c r="A102" s="41" t="str">
        <x:v>NE-098</x:v>
      </x:c>
      <x:c r="B102" s="41" t="str">
        <x:v>GHGRP-1006917</x:v>
      </x:c>
      <x:c r="C102" s="47" t="str">
        <x:v>International N&amp;H USA, INC - Rockland, ME</x:v>
      </x:c>
      <x:c r="D102" s="47" t="str">
        <x:v>INTERNATIONAL FLAVORS &amp; FRAGRANCES INC</x:v>
      </x:c>
      <x:c r="E102" s="47" t="str">
        <x:v>Other</x:v>
      </x:c>
      <x:c r="F102" s="41" t="str">
        <x:v>311999</x:v>
      </x:c>
      <x:c r="G102" s="41" t="str">
        <x:v>Rockland</x:v>
      </x:c>
      <x:c r="H102" s="41" t="str">
        <x:v>ME</x:v>
      </x:c>
      <x:c r="I102" s="41" t="str">
        <x:v>04841</x:v>
      </x:c>
      <x:c r="J102" s="42" t="n">
        <x:v>12584.94</x:v>
      </x:c>
      <x:c r="K102" s="43" t="str">
        <x:f>VLOOKUP(J102,'Rules and Assumptions'!$H$5:$J$9,3,TRUE)</x:f>
        <x:v>Small Reporting Load</x:v>
      </x:c>
      <x:c r="L102" s="47" t="str">
        <x:v>Director of Facilities</x:v>
      </x:c>
      <x:c r="M102" s="47" t="str">
        <x:v>Energy and Sustainability Manager</x:v>
      </x:c>
      <x:c r="N102" s="47" t="str">
        <x:v>Role identified; person not yet verified</x:v>
      </x:c>
      <x:c r="O102" s="47" t="str">
        <x:v>Facilities and Institutions</x:v>
      </x:c>
      <x:c r="P102" s="47" t="str">
        <x:v>Sales Rep C - Northern New England</x:v>
      </x:c>
      <x:c r="Q102" s="47" t="str">
        <x:v>https://www.epa.gov/ghgreporting/data-sets</x:v>
      </x:c>
      <x:c r="R102" s="44" t="n">
        <x:v>1006917</x:v>
      </x:c>
      <x:c r="S102" s="45" t="n">
        <x:f>VLOOKUP(H102,'Rules and Assumptions'!$A$5:$B$10,2,FALSE)</x:f>
        <x:v>12</x:v>
      </x:c>
      <x:c r="T102" s="45" t="n">
        <x:f>VLOOKUP(E102,'Rules and Assumptions'!$D$5:$F$15,2,FALSE)</x:f>
        <x:v>22</x:v>
      </x:c>
      <x:c r="U102" s="45" t="n">
        <x:f>VLOOKUP(J102,'Rules and Assumptions'!$H$5:$J$9,2,TRUE)</x:f>
        <x:v>10</x:v>
      </x:c>
      <x:c r="V102" s="45" t="n">
        <x:f>IF(D102&lt;&gt;"",4,0)+IF(F102&lt;&gt;"",2,0)+IF(G102&lt;&gt;"",1,0)+IF(L102&lt;&gt;"",2,0)+IF(R102&lt;&gt;"",1,0)</x:f>
        <x:v>10</x:v>
      </x:c>
      <x:c r="W102" s="45" t="n">
        <x:f>VLOOKUP(E102,'Rules and Assumptions'!$D$5:$F$15,3,FALSE)</x:f>
        <x:v>10</x:v>
      </x:c>
      <x:c r="X102" s="45" t="n">
        <x:f>SUM(S102:W102)</x:f>
        <x:v>64</x:v>
      </x:c>
      <x:c r="Y102" s="45" t="n">
        <x:f>RANK.EQ(X102,$X$5:$X$164,0)+COUNTIF($X$5:X102,X102)-1</x:f>
        <x:v>98</x:v>
      </x:c>
      <x:c r="Z102" s="43" t="str">
        <x:f>IF(Y102&lt;='Rules and Assumptions'!$M$5,"High",IF(Y102&lt;='Rules and Assumptions'!$M$6,"Medium","Low"))</x:f>
        <x:v>Low</x:v>
      </x:c>
      <x:c r="AA102" s="43" t="str">
        <x:f>LOWER(TRIM(B102))</x:f>
        <x:v>ghgrp-1006917</x:v>
      </x:c>
      <x:c r="AB102" s="43" t="str">
        <x:f>IF(COUNTIF($AA$5:$AA$164,AA102)&gt;1,"Review","Unique")</x:f>
        <x:v>Unique</x:v>
      </x:c>
      <x:c r="AC102" s="47" t="str">
        <x:v>General commercial or institutional facility; validate site portfolio and purchasing authority.</x:v>
      </x:c>
      <x:c r="AD102" s="46" t="n">
        <x:v>45520</x:v>
      </x:c>
    </x:row>
    <x:row r="103">
      <x:c r="A103" s="41" t="str">
        <x:v>NE-099</x:v>
      </x:c>
      <x:c r="B103" s="41" t="str">
        <x:v>GHGRP-1002915</x:v>
      </x:c>
      <x:c r="C103" s="47" t="str">
        <x:v>ANHEUSER-BUSCH LLC - Merrimack, NH</x:v>
      </x:c>
      <x:c r="D103" s="47" t="str">
        <x:v>ANHEUSER-BUSCH COS LLC</x:v>
      </x:c>
      <x:c r="E103" s="47" t="str">
        <x:v>Other,Suppliers of CO2</x:v>
      </x:c>
      <x:c r="F103" s="41" t="str">
        <x:v>312120</x:v>
      </x:c>
      <x:c r="G103" s="41" t="str">
        <x:v>Merrimack</x:v>
      </x:c>
      <x:c r="H103" s="41" t="str">
        <x:v>NH</x:v>
      </x:c>
      <x:c r="I103" s="41" t="str">
        <x:v>03054</x:v>
      </x:c>
      <x:c r="J103" s="42" t="n">
        <x:v>10838.138</x:v>
      </x:c>
      <x:c r="K103" s="43" t="str">
        <x:f>VLOOKUP(J103,'Rules and Assumptions'!$H$5:$J$9,3,TRUE)</x:f>
        <x:v>Small Reporting Load</x:v>
      </x:c>
      <x:c r="L103" s="47" t="str">
        <x:v>Director of Operations</x:v>
      </x:c>
      <x:c r="M103" s="47" t="str">
        <x:v>Strategic Sourcing Manager</x:v>
      </x:c>
      <x:c r="N103" s="47" t="str">
        <x:v>Role identified; person not yet verified</x:v>
      </x:c>
      <x:c r="O103" s="47" t="str">
        <x:v>Industrial High-Load</x:v>
      </x:c>
      <x:c r="P103" s="47" t="str">
        <x:v>Sales Rep C - Northern New England</x:v>
      </x:c>
      <x:c r="Q103" s="47" t="str">
        <x:v>https://www.epa.gov/ghgreporting/data-sets</x:v>
      </x:c>
      <x:c r="R103" s="44" t="n">
        <x:v>1002915</x:v>
      </x:c>
      <x:c r="S103" s="45" t="n">
        <x:f>VLOOKUP(H103,'Rules and Assumptions'!$A$5:$B$10,2,FALSE)</x:f>
        <x:v>16</x:v>
      </x:c>
      <x:c r="T103" s="45" t="n">
        <x:f>VLOOKUP(E103,'Rules and Assumptions'!$D$5:$F$15,2,FALSE)</x:f>
        <x:v>20</x:v>
      </x:c>
      <x:c r="U103" s="45" t="n">
        <x:f>VLOOKUP(J103,'Rules and Assumptions'!$H$5:$J$9,2,TRUE)</x:f>
        <x:v>10</x:v>
      </x:c>
      <x:c r="V103" s="45" t="n">
        <x:f>IF(D103&lt;&gt;"",4,0)+IF(F103&lt;&gt;"",2,0)+IF(G103&lt;&gt;"",1,0)+IF(L103&lt;&gt;"",2,0)+IF(R103&lt;&gt;"",1,0)</x:f>
        <x:v>10</x:v>
      </x:c>
      <x:c r="W103" s="45" t="n">
        <x:f>VLOOKUP(E103,'Rules and Assumptions'!$D$5:$F$15,3,FALSE)</x:f>
        <x:v>8</x:v>
      </x:c>
      <x:c r="X103" s="45" t="n">
        <x:f>SUM(S103:W103)</x:f>
        <x:v>64</x:v>
      </x:c>
      <x:c r="Y103" s="45" t="n">
        <x:f>RANK.EQ(X103,$X$5:$X$164,0)+COUNTIF($X$5:X103,X103)-1</x:f>
        <x:v>99</x:v>
      </x:c>
      <x:c r="Z103" s="43" t="str">
        <x:f>IF(Y103&lt;='Rules and Assumptions'!$M$5,"High",IF(Y103&lt;='Rules and Assumptions'!$M$6,"Medium","Low"))</x:f>
        <x:v>Low</x:v>
      </x:c>
      <x:c r="AA103" s="43" t="str">
        <x:f>LOWER(TRIM(B103))</x:f>
        <x:v>ghgrp-1002915</x:v>
      </x:c>
      <x:c r="AB103" s="43" t="str">
        <x:f>IF(COUNTIF($AA$5:$AA$164,AA103)&gt;1,"Review","Unique")</x:f>
        <x:v>Unique</x:v>
      </x:c>
      <x:c r="AC103" s="47" t="str">
        <x:v>Industrial supplier; validate whether energy procurement is managed at the site or parent-company level.</x:v>
      </x:c>
      <x:c r="AD103" s="46" t="n">
        <x:v>45520</x:v>
      </x:c>
    </x:row>
    <x:row r="104">
      <x:c r="A104" s="41" t="str">
        <x:v>NE-100</x:v>
      </x:c>
      <x:c r="B104" s="41" t="str">
        <x:v>GHGRP-1006130</x:v>
      </x:c>
      <x:c r="C104" s="47" t="str">
        <x:v>Cromwell - Cromwell, CT</x:v>
      </x:c>
      <x:c r="D104" s="47" t="str">
        <x:v>Enbridge (US) Inc</x:v>
      </x:c>
      <x:c r="E104" s="47" t="str">
        <x:v>Petroleum and Natural Gas Systems</x:v>
      </x:c>
      <x:c r="F104" s="41" t="str">
        <x:v>486210</x:v>
      </x:c>
      <x:c r="G104" s="41" t="str">
        <x:v>Cromwell</x:v>
      </x:c>
      <x:c r="H104" s="41" t="str">
        <x:v>CT</x:v>
      </x:c>
      <x:c r="I104" s="41" t="str">
        <x:v>06416</x:v>
      </x:c>
      <x:c r="J104" s="42" t="n">
        <x:v>67979.902</x:v>
      </x:c>
      <x:c r="K104" s="43" t="str">
        <x:f>VLOOKUP(J104,'Rules and Assumptions'!$H$5:$J$9,3,TRUE)</x:f>
        <x:v>Mid Reporting Load</x:v>
      </x:c>
      <x:c r="L104" s="47" t="str">
        <x:v>Director of Operations</x:v>
      </x:c>
      <x:c r="M104" s="47" t="str">
        <x:v>Energy Procurement Manager</x:v>
      </x:c>
      <x:c r="N104" s="47" t="str">
        <x:v>Role identified; person not yet verified</x:v>
      </x:c>
      <x:c r="O104" s="47" t="str">
        <x:v>Energy Infrastructure</x:v>
      </x:c>
      <x:c r="P104" s="47" t="str">
        <x:v>Sales Rep B - Connecticut/Rhode Island</x:v>
      </x:c>
      <x:c r="Q104" s="47" t="str">
        <x:v>https://www.epa.gov/ghgreporting/data-sets</x:v>
      </x:c>
      <x:c r="R104" s="44" t="n">
        <x:v>1006130</x:v>
      </x:c>
      <x:c r="S104" s="45" t="n">
        <x:f>VLOOKUP(H104,'Rules and Assumptions'!$A$5:$B$10,2,FALSE)</x:f>
        <x:v>16</x:v>
      </x:c>
      <x:c r="T104" s="45" t="n">
        <x:f>VLOOKUP(E104,'Rules and Assumptions'!$D$5:$F$15,2,FALSE)</x:f>
        <x:v>15</x:v>
      </x:c>
      <x:c r="U104" s="45" t="n">
        <x:f>VLOOKUP(J104,'Rules and Assumptions'!$H$5:$J$9,2,TRUE)</x:f>
        <x:v>15</x:v>
      </x:c>
      <x:c r="V104" s="45" t="n">
        <x:f>IF(D104&lt;&gt;"",4,0)+IF(F104&lt;&gt;"",2,0)+IF(G104&lt;&gt;"",1,0)+IF(L104&lt;&gt;"",2,0)+IF(R104&lt;&gt;"",1,0)</x:f>
        <x:v>10</x:v>
      </x:c>
      <x:c r="W104" s="45" t="n">
        <x:f>VLOOKUP(E104,'Rules and Assumptions'!$D$5:$F$15,3,FALSE)</x:f>
        <x:v>7</x:v>
      </x:c>
      <x:c r="X104" s="45" t="n">
        <x:f>SUM(S104:W104)</x:f>
        <x:v>63</x:v>
      </x:c>
      <x:c r="Y104" s="45" t="n">
        <x:f>RANK.EQ(X104,$X$5:$X$164,0)+COUNTIF($X$5:X104,X104)-1</x:f>
        <x:v>100</x:v>
      </x:c>
      <x:c r="Z104" s="43" t="str">
        <x:f>IF(Y104&lt;='Rules and Assumptions'!$M$5,"High",IF(Y104&lt;='Rules and Assumptions'!$M$6,"Medium","Low"))</x:f>
        <x:v>Low</x:v>
      </x:c>
      <x:c r="AA104" s="43" t="str">
        <x:f>LOWER(TRIM(B104))</x:f>
        <x:v>ghgrp-1006130</x:v>
      </x:c>
      <x:c r="AB104" s="43" t="str">
        <x:f>IF(COUNTIF($AA$5:$AA$164,AA104)&gt;1,"Review","Unique")</x:f>
        <x:v>Unique</x:v>
      </x:c>
      <x:c r="AC104" s="47" t="str">
        <x:v>Energy-sector operator; retain for market intelligence and qualify end-customer purchasing fit.</x:v>
      </x:c>
      <x:c r="AD104" s="46" t="n">
        <x:v>45520</x:v>
      </x:c>
    </x:row>
    <x:row r="105">
      <x:c r="A105" s="41" t="str">
        <x:v>NE-101</x:v>
      </x:c>
      <x:c r="B105" s="41" t="str">
        <x:v>GHGRP-1000206</x:v>
      </x:c>
      <x:c r="C105" s="47" t="str">
        <x:v>Burrillville - Pascoag, RI</x:v>
      </x:c>
      <x:c r="D105" s="47" t="str">
        <x:v>Enbridge (US) Inc</x:v>
      </x:c>
      <x:c r="E105" s="47" t="str">
        <x:v>Petroleum and Natural Gas Systems</x:v>
      </x:c>
      <x:c r="F105" s="41" t="str">
        <x:v>486210</x:v>
      </x:c>
      <x:c r="G105" s="41" t="str">
        <x:v>Pascoag</x:v>
      </x:c>
      <x:c r="H105" s="41" t="str">
        <x:v>RI</x:v>
      </x:c>
      <x:c r="I105" s="41" t="str">
        <x:v>02859</x:v>
      </x:c>
      <x:c r="J105" s="42" t="n">
        <x:v>61368.376</x:v>
      </x:c>
      <x:c r="K105" s="43" t="str">
        <x:f>VLOOKUP(J105,'Rules and Assumptions'!$H$5:$J$9,3,TRUE)</x:f>
        <x:v>Mid Reporting Load</x:v>
      </x:c>
      <x:c r="L105" s="47" t="str">
        <x:v>Director of Operations</x:v>
      </x:c>
      <x:c r="M105" s="47" t="str">
        <x:v>Energy Procurement Manager</x:v>
      </x:c>
      <x:c r="N105" s="47" t="str">
        <x:v>Role identified; person not yet verified</x:v>
      </x:c>
      <x:c r="O105" s="47" t="str">
        <x:v>Energy Infrastructure</x:v>
      </x:c>
      <x:c r="P105" s="47" t="str">
        <x:v>Sales Rep B - Connecticut/Rhode Island</x:v>
      </x:c>
      <x:c r="Q105" s="47" t="str">
        <x:v>https://www.epa.gov/ghgreporting/data-sets</x:v>
      </x:c>
      <x:c r="R105" s="44" t="n">
        <x:v>1000206</x:v>
      </x:c>
      <x:c r="S105" s="45" t="n">
        <x:f>VLOOKUP(H105,'Rules and Assumptions'!$A$5:$B$10,2,FALSE)</x:f>
        <x:v>16</x:v>
      </x:c>
      <x:c r="T105" s="45" t="n">
        <x:f>VLOOKUP(E105,'Rules and Assumptions'!$D$5:$F$15,2,FALSE)</x:f>
        <x:v>15</x:v>
      </x:c>
      <x:c r="U105" s="45" t="n">
        <x:f>VLOOKUP(J105,'Rules and Assumptions'!$H$5:$J$9,2,TRUE)</x:f>
        <x:v>15</x:v>
      </x:c>
      <x:c r="V105" s="45" t="n">
        <x:f>IF(D105&lt;&gt;"",4,0)+IF(F105&lt;&gt;"",2,0)+IF(G105&lt;&gt;"",1,0)+IF(L105&lt;&gt;"",2,0)+IF(R105&lt;&gt;"",1,0)</x:f>
        <x:v>10</x:v>
      </x:c>
      <x:c r="W105" s="45" t="n">
        <x:f>VLOOKUP(E105,'Rules and Assumptions'!$D$5:$F$15,3,FALSE)</x:f>
        <x:v>7</x:v>
      </x:c>
      <x:c r="X105" s="45" t="n">
        <x:f>SUM(S105:W105)</x:f>
        <x:v>63</x:v>
      </x:c>
      <x:c r="Y105" s="45" t="n">
        <x:f>RANK.EQ(X105,$X$5:$X$164,0)+COUNTIF($X$5:X105,X105)-1</x:f>
        <x:v>101</x:v>
      </x:c>
      <x:c r="Z105" s="43" t="str">
        <x:f>IF(Y105&lt;='Rules and Assumptions'!$M$5,"High",IF(Y105&lt;='Rules and Assumptions'!$M$6,"Medium","Low"))</x:f>
        <x:v>Low</x:v>
      </x:c>
      <x:c r="AA105" s="43" t="str">
        <x:f>LOWER(TRIM(B105))</x:f>
        <x:v>ghgrp-1000206</x:v>
      </x:c>
      <x:c r="AB105" s="43" t="str">
        <x:f>IF(COUNTIF($AA$5:$AA$164,AA105)&gt;1,"Review","Unique")</x:f>
        <x:v>Unique</x:v>
      </x:c>
      <x:c r="AC105" s="47" t="str">
        <x:v>Energy-sector operator; retain for market intelligence and qualify end-customer purchasing fit.</x:v>
      </x:c>
      <x:c r="AD105" s="46" t="n">
        <x:v>45520</x:v>
      </x:c>
    </x:row>
    <x:row r="106">
      <x:c r="A106" s="41" t="str">
        <x:v>NE-102</x:v>
      </x:c>
      <x:c r="B106" s="41" t="str">
        <x:v>GHGRP-1008158</x:v>
      </x:c>
      <x:c r="C106" s="47" t="str">
        <x:v>Oxford Station - Oxford, CT</x:v>
      </x:c>
      <x:c r="D106" s="47" t="str">
        <x:v>Enbridge (US) Inc</x:v>
      </x:c>
      <x:c r="E106" s="47" t="str">
        <x:v>Petroleum and Natural Gas Systems</x:v>
      </x:c>
      <x:c r="F106" s="41" t="str">
        <x:v>486210</x:v>
      </x:c>
      <x:c r="G106" s="41" t="str">
        <x:v>Oxford</x:v>
      </x:c>
      <x:c r="H106" s="41" t="str">
        <x:v>CT</x:v>
      </x:c>
      <x:c r="I106" s="41" t="str">
        <x:v>06478</x:v>
      </x:c>
      <x:c r="J106" s="42" t="n">
        <x:v>55953.394</x:v>
      </x:c>
      <x:c r="K106" s="43" t="str">
        <x:f>VLOOKUP(J106,'Rules and Assumptions'!$H$5:$J$9,3,TRUE)</x:f>
        <x:v>Mid Reporting Load</x:v>
      </x:c>
      <x:c r="L106" s="47" t="str">
        <x:v>Director of Operations</x:v>
      </x:c>
      <x:c r="M106" s="47" t="str">
        <x:v>Energy Procurement Manager</x:v>
      </x:c>
      <x:c r="N106" s="47" t="str">
        <x:v>Role identified; person not yet verified</x:v>
      </x:c>
      <x:c r="O106" s="47" t="str">
        <x:v>Energy Infrastructure</x:v>
      </x:c>
      <x:c r="P106" s="47" t="str">
        <x:v>Sales Rep B - Connecticut/Rhode Island</x:v>
      </x:c>
      <x:c r="Q106" s="47" t="str">
        <x:v>https://www.epa.gov/ghgreporting/data-sets</x:v>
      </x:c>
      <x:c r="R106" s="44" t="n">
        <x:v>1008158</x:v>
      </x:c>
      <x:c r="S106" s="45" t="n">
        <x:f>VLOOKUP(H106,'Rules and Assumptions'!$A$5:$B$10,2,FALSE)</x:f>
        <x:v>16</x:v>
      </x:c>
      <x:c r="T106" s="45" t="n">
        <x:f>VLOOKUP(E106,'Rules and Assumptions'!$D$5:$F$15,2,FALSE)</x:f>
        <x:v>15</x:v>
      </x:c>
      <x:c r="U106" s="45" t="n">
        <x:f>VLOOKUP(J106,'Rules and Assumptions'!$H$5:$J$9,2,TRUE)</x:f>
        <x:v>15</x:v>
      </x:c>
      <x:c r="V106" s="45" t="n">
        <x:f>IF(D106&lt;&gt;"",4,0)+IF(F106&lt;&gt;"",2,0)+IF(G106&lt;&gt;"",1,0)+IF(L106&lt;&gt;"",2,0)+IF(R106&lt;&gt;"",1,0)</x:f>
        <x:v>10</x:v>
      </x:c>
      <x:c r="W106" s="45" t="n">
        <x:f>VLOOKUP(E106,'Rules and Assumptions'!$D$5:$F$15,3,FALSE)</x:f>
        <x:v>7</x:v>
      </x:c>
      <x:c r="X106" s="45" t="n">
        <x:f>SUM(S106:W106)</x:f>
        <x:v>63</x:v>
      </x:c>
      <x:c r="Y106" s="45" t="n">
        <x:f>RANK.EQ(X106,$X$5:$X$164,0)+COUNTIF($X$5:X106,X106)-1</x:f>
        <x:v>102</x:v>
      </x:c>
      <x:c r="Z106" s="43" t="str">
        <x:f>IF(Y106&lt;='Rules and Assumptions'!$M$5,"High",IF(Y106&lt;='Rules and Assumptions'!$M$6,"Medium","Low"))</x:f>
        <x:v>Low</x:v>
      </x:c>
      <x:c r="AA106" s="43" t="str">
        <x:f>LOWER(TRIM(B106))</x:f>
        <x:v>ghgrp-1008158</x:v>
      </x:c>
      <x:c r="AB106" s="43" t="str">
        <x:f>IF(COUNTIF($AA$5:$AA$164,AA106)&gt;1,"Review","Unique")</x:f>
        <x:v>Unique</x:v>
      </x:c>
      <x:c r="AC106" s="47" t="str">
        <x:v>Energy-sector operator; retain for market intelligence and qualify end-customer purchasing fit.</x:v>
      </x:c>
      <x:c r="AD106" s="46" t="n">
        <x:v>45520</x:v>
      </x:c>
    </x:row>
    <x:row r="107">
      <x:c r="A107" s="41" t="str">
        <x:v>NE-103</x:v>
      </x:c>
      <x:c r="B107" s="41" t="str">
        <x:v>GHGRP-1004165</x:v>
      </x:c>
      <x:c r="C107" s="47" t="str">
        <x:v>IROQUOIS GAS TRANSMISSION SYSTEM, L.P. - BROOKFIELD COMPRESSOR STATION - Brookfield, CT</x:v>
      </x:c>
      <x:c r="D107" s="47" t="str">
        <x:v>IROQUOIS GAS TRANSMISSION SYSTEM LP</x:v>
      </x:c>
      <x:c r="E107" s="47" t="str">
        <x:v>Petroleum and Natural Gas Systems</x:v>
      </x:c>
      <x:c r="F107" s="41" t="str">
        <x:v>486210</x:v>
      </x:c>
      <x:c r="G107" s="41" t="str">
        <x:v>Brookfield</x:v>
      </x:c>
      <x:c r="H107" s="41" t="str">
        <x:v>CT</x:v>
      </x:c>
      <x:c r="I107" s="41" t="str">
        <x:v>06804</x:v>
      </x:c>
      <x:c r="J107" s="42" t="n">
        <x:v>50539.012</x:v>
      </x:c>
      <x:c r="K107" s="43" t="str">
        <x:f>VLOOKUP(J107,'Rules and Assumptions'!$H$5:$J$9,3,TRUE)</x:f>
        <x:v>Mid Reporting Load</x:v>
      </x:c>
      <x:c r="L107" s="47" t="str">
        <x:v>Director of Operations</x:v>
      </x:c>
      <x:c r="M107" s="47" t="str">
        <x:v>Energy Procurement Manager</x:v>
      </x:c>
      <x:c r="N107" s="47" t="str">
        <x:v>Role identified; person not yet verified</x:v>
      </x:c>
      <x:c r="O107" s="47" t="str">
        <x:v>Energy Infrastructure</x:v>
      </x:c>
      <x:c r="P107" s="47" t="str">
        <x:v>Sales Rep B - Connecticut/Rhode Island</x:v>
      </x:c>
      <x:c r="Q107" s="47" t="str">
        <x:v>https://www.epa.gov/ghgreporting/data-sets</x:v>
      </x:c>
      <x:c r="R107" s="44" t="n">
        <x:v>1004165</x:v>
      </x:c>
      <x:c r="S107" s="45" t="n">
        <x:f>VLOOKUP(H107,'Rules and Assumptions'!$A$5:$B$10,2,FALSE)</x:f>
        <x:v>16</x:v>
      </x:c>
      <x:c r="T107" s="45" t="n">
        <x:f>VLOOKUP(E107,'Rules and Assumptions'!$D$5:$F$15,2,FALSE)</x:f>
        <x:v>15</x:v>
      </x:c>
      <x:c r="U107" s="45" t="n">
        <x:f>VLOOKUP(J107,'Rules and Assumptions'!$H$5:$J$9,2,TRUE)</x:f>
        <x:v>15</x:v>
      </x:c>
      <x:c r="V107" s="45" t="n">
        <x:f>IF(D107&lt;&gt;"",4,0)+IF(F107&lt;&gt;"",2,0)+IF(G107&lt;&gt;"",1,0)+IF(L107&lt;&gt;"",2,0)+IF(R107&lt;&gt;"",1,0)</x:f>
        <x:v>10</x:v>
      </x:c>
      <x:c r="W107" s="45" t="n">
        <x:f>VLOOKUP(E107,'Rules and Assumptions'!$D$5:$F$15,3,FALSE)</x:f>
        <x:v>7</x:v>
      </x:c>
      <x:c r="X107" s="45" t="n">
        <x:f>SUM(S107:W107)</x:f>
        <x:v>63</x:v>
      </x:c>
      <x:c r="Y107" s="45" t="n">
        <x:f>RANK.EQ(X107,$X$5:$X$164,0)+COUNTIF($X$5:X107,X107)-1</x:f>
        <x:v>103</x:v>
      </x:c>
      <x:c r="Z107" s="43" t="str">
        <x:f>IF(Y107&lt;='Rules and Assumptions'!$M$5,"High",IF(Y107&lt;='Rules and Assumptions'!$M$6,"Medium","Low"))</x:f>
        <x:v>Low</x:v>
      </x:c>
      <x:c r="AA107" s="43" t="str">
        <x:f>LOWER(TRIM(B107))</x:f>
        <x:v>ghgrp-1004165</x:v>
      </x:c>
      <x:c r="AB107" s="43" t="str">
        <x:f>IF(COUNTIF($AA$5:$AA$164,AA107)&gt;1,"Review","Unique")</x:f>
        <x:v>Unique</x:v>
      </x:c>
      <x:c r="AC107" s="47" t="str">
        <x:v>Energy-sector operator; retain for market intelligence and qualify end-customer purchasing fit.</x:v>
      </x:c>
      <x:c r="AD107" s="46" t="n">
        <x:v>45520</x:v>
      </x:c>
    </x:row>
    <x:row r="108">
      <x:c r="A108" s="41" t="str">
        <x:v>NE-104</x:v>
      </x:c>
      <x:c r="B108" s="41" t="str">
        <x:v>GHGRP-1008146</x:v>
      </x:c>
      <x:c r="C108" s="47" t="str">
        <x:v>Chaplin Station - Chaplin, CT</x:v>
      </x:c>
      <x:c r="D108" s="47" t="str">
        <x:v>Enbridge (US) Inc</x:v>
      </x:c>
      <x:c r="E108" s="47" t="str">
        <x:v>Petroleum and Natural Gas Systems</x:v>
      </x:c>
      <x:c r="F108" s="41" t="str">
        <x:v>486210</x:v>
      </x:c>
      <x:c r="G108" s="41" t="str">
        <x:v>Chaplin</x:v>
      </x:c>
      <x:c r="H108" s="41" t="str">
        <x:v>CT</x:v>
      </x:c>
      <x:c r="I108" s="41" t="str">
        <x:v>06235</x:v>
      </x:c>
      <x:c r="J108" s="42" t="n">
        <x:v>50426.318</x:v>
      </x:c>
      <x:c r="K108" s="43" t="str">
        <x:f>VLOOKUP(J108,'Rules and Assumptions'!$H$5:$J$9,3,TRUE)</x:f>
        <x:v>Mid Reporting Load</x:v>
      </x:c>
      <x:c r="L108" s="47" t="str">
        <x:v>Director of Operations</x:v>
      </x:c>
      <x:c r="M108" s="47" t="str">
        <x:v>Energy Procurement Manager</x:v>
      </x:c>
      <x:c r="N108" s="47" t="str">
        <x:v>Role identified; person not yet verified</x:v>
      </x:c>
      <x:c r="O108" s="47" t="str">
        <x:v>Energy Infrastructure</x:v>
      </x:c>
      <x:c r="P108" s="47" t="str">
        <x:v>Sales Rep B - Connecticut/Rhode Island</x:v>
      </x:c>
      <x:c r="Q108" s="47" t="str">
        <x:v>https://www.epa.gov/ghgreporting/data-sets</x:v>
      </x:c>
      <x:c r="R108" s="44" t="n">
        <x:v>1008146</x:v>
      </x:c>
      <x:c r="S108" s="45" t="n">
        <x:f>VLOOKUP(H108,'Rules and Assumptions'!$A$5:$B$10,2,FALSE)</x:f>
        <x:v>16</x:v>
      </x:c>
      <x:c r="T108" s="45" t="n">
        <x:f>VLOOKUP(E108,'Rules and Assumptions'!$D$5:$F$15,2,FALSE)</x:f>
        <x:v>15</x:v>
      </x:c>
      <x:c r="U108" s="45" t="n">
        <x:f>VLOOKUP(J108,'Rules and Assumptions'!$H$5:$J$9,2,TRUE)</x:f>
        <x:v>15</x:v>
      </x:c>
      <x:c r="V108" s="45" t="n">
        <x:f>IF(D108&lt;&gt;"",4,0)+IF(F108&lt;&gt;"",2,0)+IF(G108&lt;&gt;"",1,0)+IF(L108&lt;&gt;"",2,0)+IF(R108&lt;&gt;"",1,0)</x:f>
        <x:v>10</x:v>
      </x:c>
      <x:c r="W108" s="45" t="n">
        <x:f>VLOOKUP(E108,'Rules and Assumptions'!$D$5:$F$15,3,FALSE)</x:f>
        <x:v>7</x:v>
      </x:c>
      <x:c r="X108" s="45" t="n">
        <x:f>SUM(S108:W108)</x:f>
        <x:v>63</x:v>
      </x:c>
      <x:c r="Y108" s="45" t="n">
        <x:f>RANK.EQ(X108,$X$5:$X$164,0)+COUNTIF($X$5:X108,X108)-1</x:f>
        <x:v>104</x:v>
      </x:c>
      <x:c r="Z108" s="43" t="str">
        <x:f>IF(Y108&lt;='Rules and Assumptions'!$M$5,"High",IF(Y108&lt;='Rules and Assumptions'!$M$6,"Medium","Low"))</x:f>
        <x:v>Low</x:v>
      </x:c>
      <x:c r="AA108" s="43" t="str">
        <x:f>LOWER(TRIM(B108))</x:f>
        <x:v>ghgrp-1008146</x:v>
      </x:c>
      <x:c r="AB108" s="43" t="str">
        <x:f>IF(COUNTIF($AA$5:$AA$164,AA108)&gt;1,"Review","Unique")</x:f>
        <x:v>Unique</x:v>
      </x:c>
      <x:c r="AC108" s="47" t="str">
        <x:v>Energy-sector operator; retain for market intelligence and qualify end-customer purchasing fit.</x:v>
      </x:c>
      <x:c r="AD108" s="46" t="n">
        <x:v>45520</x:v>
      </x:c>
    </x:row>
    <x:row r="109">
      <x:c r="A109" s="41" t="str">
        <x:v>NE-105</x:v>
      </x:c>
      <x:c r="B109" s="41" t="str">
        <x:v>GHGRP-1009333</x:v>
      </x:c>
      <x:c r="C109" s="47" t="str">
        <x:v>TGP Station 264 Charlton - Charlton, MA</x:v>
      </x:c>
      <x:c r="D109" s="47" t="str">
        <x:v>KINDER MORGAN INC</x:v>
      </x:c>
      <x:c r="E109" s="47" t="str">
        <x:v>Petroleum and Natural Gas Systems</x:v>
      </x:c>
      <x:c r="F109" s="41" t="str">
        <x:v>486210</x:v>
      </x:c>
      <x:c r="G109" s="41" t="str">
        <x:v>Charlton</x:v>
      </x:c>
      <x:c r="H109" s="41" t="str">
        <x:v>MA</x:v>
      </x:c>
      <x:c r="I109" s="41" t="str">
        <x:v>01507</x:v>
      </x:c>
      <x:c r="J109" s="42" t="n">
        <x:v>32834.178</x:v>
      </x:c>
      <x:c r="K109" s="43" t="str">
        <x:f>VLOOKUP(J109,'Rules and Assumptions'!$H$5:$J$9,3,TRUE)</x:f>
        <x:v>Small Reporting Load</x:v>
      </x:c>
      <x:c r="L109" s="47" t="str">
        <x:v>Director of Operations</x:v>
      </x:c>
      <x:c r="M109" s="47" t="str">
        <x:v>Energy Procurement Manager</x:v>
      </x:c>
      <x:c r="N109" s="47" t="str">
        <x:v>Role identified; person not yet verified</x:v>
      </x:c>
      <x:c r="O109" s="47" t="str">
        <x:v>Energy Infrastructure</x:v>
      </x:c>
      <x:c r="P109" s="47" t="str">
        <x:v>Sales Rep A - Massachusetts</x:v>
      </x:c>
      <x:c r="Q109" s="47" t="str">
        <x:v>https://www.epa.gov/ghgreporting/data-sets</x:v>
      </x:c>
      <x:c r="R109" s="44" t="n">
        <x:v>1009333</x:v>
      </x:c>
      <x:c r="S109" s="45" t="n">
        <x:f>VLOOKUP(H109,'Rules and Assumptions'!$A$5:$B$10,2,FALSE)</x:f>
        <x:v>20</x:v>
      </x:c>
      <x:c r="T109" s="45" t="n">
        <x:f>VLOOKUP(E109,'Rules and Assumptions'!$D$5:$F$15,2,FALSE)</x:f>
        <x:v>15</x:v>
      </x:c>
      <x:c r="U109" s="45" t="n">
        <x:f>VLOOKUP(J109,'Rules and Assumptions'!$H$5:$J$9,2,TRUE)</x:f>
        <x:v>10</x:v>
      </x:c>
      <x:c r="V109" s="45" t="n">
        <x:f>IF(D109&lt;&gt;"",4,0)+IF(F109&lt;&gt;"",2,0)+IF(G109&lt;&gt;"",1,0)+IF(L109&lt;&gt;"",2,0)+IF(R109&lt;&gt;"",1,0)</x:f>
        <x:v>10</x:v>
      </x:c>
      <x:c r="W109" s="45" t="n">
        <x:f>VLOOKUP(E109,'Rules and Assumptions'!$D$5:$F$15,3,FALSE)</x:f>
        <x:v>7</x:v>
      </x:c>
      <x:c r="X109" s="45" t="n">
        <x:f>SUM(S109:W109)</x:f>
        <x:v>62</x:v>
      </x:c>
      <x:c r="Y109" s="45" t="n">
        <x:f>RANK.EQ(X109,$X$5:$X$164,0)+COUNTIF($X$5:X109,X109)-1</x:f>
        <x:v>105</x:v>
      </x:c>
      <x:c r="Z109" s="43" t="str">
        <x:f>IF(Y109&lt;='Rules and Assumptions'!$M$5,"High",IF(Y109&lt;='Rules and Assumptions'!$M$6,"Medium","Low"))</x:f>
        <x:v>Low</x:v>
      </x:c>
      <x:c r="AA109" s="43" t="str">
        <x:f>LOWER(TRIM(B109))</x:f>
        <x:v>ghgrp-1009333</x:v>
      </x:c>
      <x:c r="AB109" s="43" t="str">
        <x:f>IF(COUNTIF($AA$5:$AA$164,AA109)&gt;1,"Review","Unique")</x:f>
        <x:v>Unique</x:v>
      </x:c>
      <x:c r="AC109" s="47" t="str">
        <x:v>Energy-sector operator; retain for market intelligence and qualify end-customer purchasing fit.</x:v>
      </x:c>
      <x:c r="AD109" s="46" t="n">
        <x:v>45520</x:v>
      </x:c>
    </x:row>
    <x:row r="110">
      <x:c r="A110" s="41" t="str">
        <x:v>NE-106</x:v>
      </x:c>
      <x:c r="B110" s="41" t="str">
        <x:v>GHGRP-1010498</x:v>
      </x:c>
      <x:c r="C110" s="47" t="str">
        <x:v>TGP Station 261 Agawam - Agawam, MA</x:v>
      </x:c>
      <x:c r="D110" s="47" t="str">
        <x:v>KINDER MORGAN INC</x:v>
      </x:c>
      <x:c r="E110" s="47" t="str">
        <x:v>Petroleum and Natural Gas Systems</x:v>
      </x:c>
      <x:c r="F110" s="41" t="str">
        <x:v>486210</x:v>
      </x:c>
      <x:c r="G110" s="41" t="str">
        <x:v>Agawam</x:v>
      </x:c>
      <x:c r="H110" s="41" t="str">
        <x:v>MA</x:v>
      </x:c>
      <x:c r="I110" s="41" t="str">
        <x:v>01001</x:v>
      </x:c>
      <x:c r="J110" s="42" t="n">
        <x:v>25945.112</x:v>
      </x:c>
      <x:c r="K110" s="43" t="str">
        <x:f>VLOOKUP(J110,'Rules and Assumptions'!$H$5:$J$9,3,TRUE)</x:f>
        <x:v>Small Reporting Load</x:v>
      </x:c>
      <x:c r="L110" s="47" t="str">
        <x:v>Director of Operations</x:v>
      </x:c>
      <x:c r="M110" s="47" t="str">
        <x:v>Energy Procurement Manager</x:v>
      </x:c>
      <x:c r="N110" s="47" t="str">
        <x:v>Role identified; person not yet verified</x:v>
      </x:c>
      <x:c r="O110" s="47" t="str">
        <x:v>Energy Infrastructure</x:v>
      </x:c>
      <x:c r="P110" s="47" t="str">
        <x:v>Sales Rep A - Massachusetts</x:v>
      </x:c>
      <x:c r="Q110" s="47" t="str">
        <x:v>https://www.epa.gov/ghgreporting/data-sets</x:v>
      </x:c>
      <x:c r="R110" s="44" t="n">
        <x:v>1010498</x:v>
      </x:c>
      <x:c r="S110" s="45" t="n">
        <x:f>VLOOKUP(H110,'Rules and Assumptions'!$A$5:$B$10,2,FALSE)</x:f>
        <x:v>20</x:v>
      </x:c>
      <x:c r="T110" s="45" t="n">
        <x:f>VLOOKUP(E110,'Rules and Assumptions'!$D$5:$F$15,2,FALSE)</x:f>
        <x:v>15</x:v>
      </x:c>
      <x:c r="U110" s="45" t="n">
        <x:f>VLOOKUP(J110,'Rules and Assumptions'!$H$5:$J$9,2,TRUE)</x:f>
        <x:v>10</x:v>
      </x:c>
      <x:c r="V110" s="45" t="n">
        <x:f>IF(D110&lt;&gt;"",4,0)+IF(F110&lt;&gt;"",2,0)+IF(G110&lt;&gt;"",1,0)+IF(L110&lt;&gt;"",2,0)+IF(R110&lt;&gt;"",1,0)</x:f>
        <x:v>10</x:v>
      </x:c>
      <x:c r="W110" s="45" t="n">
        <x:f>VLOOKUP(E110,'Rules and Assumptions'!$D$5:$F$15,3,FALSE)</x:f>
        <x:v>7</x:v>
      </x:c>
      <x:c r="X110" s="45" t="n">
        <x:f>SUM(S110:W110)</x:f>
        <x:v>62</x:v>
      </x:c>
      <x:c r="Y110" s="45" t="n">
        <x:f>RANK.EQ(X110,$X$5:$X$164,0)+COUNTIF($X$5:X110,X110)-1</x:f>
        <x:v>106</x:v>
      </x:c>
      <x:c r="Z110" s="43" t="str">
        <x:f>IF(Y110&lt;='Rules and Assumptions'!$M$5,"High",IF(Y110&lt;='Rules and Assumptions'!$M$6,"Medium","Low"))</x:f>
        <x:v>Low</x:v>
      </x:c>
      <x:c r="AA110" s="43" t="str">
        <x:f>LOWER(TRIM(B110))</x:f>
        <x:v>ghgrp-1010498</x:v>
      </x:c>
      <x:c r="AB110" s="43" t="str">
        <x:f>IF(COUNTIF($AA$5:$AA$164,AA110)&gt;1,"Review","Unique")</x:f>
        <x:v>Unique</x:v>
      </x:c>
      <x:c r="AC110" s="47" t="str">
        <x:v>Energy-sector operator; retain for market intelligence and qualify end-customer purchasing fit.</x:v>
      </x:c>
      <x:c r="AD110" s="46" t="n">
        <x:v>45520</x:v>
      </x:c>
    </x:row>
    <x:row r="111">
      <x:c r="A111" s="41" t="str">
        <x:v>NE-107</x:v>
      </x:c>
      <x:c r="B111" s="41" t="str">
        <x:v>GHGRP-1002283</x:v>
      </x:c>
      <x:c r="C111" s="47" t="str">
        <x:v>MCCAIN FOODS POTATO FACILITY - Easton, ME</x:v>
      </x:c>
      <x:c r="D111" s="47" t="str">
        <x:v>MCCAIN USA INC</x:v>
      </x:c>
      <x:c r="E111" s="47" t="str">
        <x:v>Other,Waste</x:v>
      </x:c>
      <x:c r="F111" s="41" t="str">
        <x:v>311411</x:v>
      </x:c>
      <x:c r="G111" s="41" t="str">
        <x:v>Easton</x:v>
      </x:c>
      <x:c r="H111" s="41" t="str">
        <x:v>ME</x:v>
      </x:c>
      <x:c r="I111" s="41" t="str">
        <x:v>04740</x:v>
      </x:c>
      <x:c r="J111" s="42" t="n">
        <x:v>21370.586</x:v>
      </x:c>
      <x:c r="K111" s="43" t="str">
        <x:f>VLOOKUP(J111,'Rules and Assumptions'!$H$5:$J$9,3,TRUE)</x:f>
        <x:v>Small Reporting Load</x:v>
      </x:c>
      <x:c r="L111" s="47" t="str">
        <x:v>Director of Operations</x:v>
      </x:c>
      <x:c r="M111" s="47" t="str">
        <x:v>Facilities Manager</x:v>
      </x:c>
      <x:c r="N111" s="47" t="str">
        <x:v>Role identified; person not yet verified</x:v>
      </x:c>
      <x:c r="O111" s="47" t="str">
        <x:v>Waste and Environmental</x:v>
      </x:c>
      <x:c r="P111" s="47" t="str">
        <x:v>Sales Rep C - Northern New England</x:v>
      </x:c>
      <x:c r="Q111" s="47" t="str">
        <x:v>https://www.epa.gov/ghgreporting/data-sets</x:v>
      </x:c>
      <x:c r="R111" s="44" t="n">
        <x:v>1002283</x:v>
      </x:c>
      <x:c r="S111" s="45" t="n">
        <x:f>VLOOKUP(H111,'Rules and Assumptions'!$A$5:$B$10,2,FALSE)</x:f>
        <x:v>12</x:v>
      </x:c>
      <x:c r="T111" s="45" t="n">
        <x:f>VLOOKUP(E111,'Rules and Assumptions'!$D$5:$F$15,2,FALSE)</x:f>
        <x:v>21</x:v>
      </x:c>
      <x:c r="U111" s="45" t="n">
        <x:f>VLOOKUP(J111,'Rules and Assumptions'!$H$5:$J$9,2,TRUE)</x:f>
        <x:v>10</x:v>
      </x:c>
      <x:c r="V111" s="45" t="n">
        <x:f>IF(D111&lt;&gt;"",4,0)+IF(F111&lt;&gt;"",2,0)+IF(G111&lt;&gt;"",1,0)+IF(L111&lt;&gt;"",2,0)+IF(R111&lt;&gt;"",1,0)</x:f>
        <x:v>10</x:v>
      </x:c>
      <x:c r="W111" s="45" t="n">
        <x:f>VLOOKUP(E111,'Rules and Assumptions'!$D$5:$F$15,3,FALSE)</x:f>
        <x:v>9</x:v>
      </x:c>
      <x:c r="X111" s="45" t="n">
        <x:f>SUM(S111:W111)</x:f>
        <x:v>62</x:v>
      </x:c>
      <x:c r="Y111" s="45" t="n">
        <x:f>RANK.EQ(X111,$X$5:$X$164,0)+COUNTIF($X$5:X111,X111)-1</x:f>
        <x:v>107</x:v>
      </x:c>
      <x:c r="Z111" s="43" t="str">
        <x:f>IF(Y111&lt;='Rules and Assumptions'!$M$5,"High",IF(Y111&lt;='Rules and Assumptions'!$M$6,"Medium","Low"))</x:f>
        <x:v>Low</x:v>
      </x:c>
      <x:c r="AA111" s="43" t="str">
        <x:f>LOWER(TRIM(B111))</x:f>
        <x:v>ghgrp-1002283</x:v>
      </x:c>
      <x:c r="AB111" s="43" t="str">
        <x:f>IF(COUNTIF($AA$5:$AA$164,AA111)&gt;1,"Review","Unique")</x:f>
        <x:v>Unique</x:v>
      </x:c>
      <x:c r="AC111" s="47" t="str">
        <x:v>Mixed industrial and waste operation; confirm energy-load profile and site decision authority.</x:v>
      </x:c>
      <x:c r="AD111" s="46" t="n">
        <x:v>45520</x:v>
      </x:c>
    </x:row>
    <x:row r="112">
      <x:c r="A112" s="41" t="str">
        <x:v>NE-108</x:v>
      </x:c>
      <x:c r="B112" s="41" t="str">
        <x:v>GHGRP-1003769</x:v>
      </x:c>
      <x:c r="C112" s="47" t="str">
        <x:v>DISTRIGAS OF MASSACHUSETTS LLC - Everett, MA</x:v>
      </x:c>
      <x:c r="D112" s="47" t="str">
        <x:v>Constellation Energy Corp</x:v>
      </x:c>
      <x:c r="E112" s="47" t="str">
        <x:v>Petroleum and Natural Gas Systems</x:v>
      </x:c>
      <x:c r="F112" s="41" t="str">
        <x:v>221210</x:v>
      </x:c>
      <x:c r="G112" s="41" t="str">
        <x:v>Everett</x:v>
      </x:c>
      <x:c r="H112" s="41" t="str">
        <x:v>MA</x:v>
      </x:c>
      <x:c r="I112" s="41" t="str">
        <x:v>02149</x:v>
      </x:c>
      <x:c r="J112" s="42" t="n">
        <x:v>11381.86</x:v>
      </x:c>
      <x:c r="K112" s="43" t="str">
        <x:f>VLOOKUP(J112,'Rules and Assumptions'!$H$5:$J$9,3,TRUE)</x:f>
        <x:v>Small Reporting Load</x:v>
      </x:c>
      <x:c r="L112" s="47" t="str">
        <x:v>Director of Operations</x:v>
      </x:c>
      <x:c r="M112" s="47" t="str">
        <x:v>Energy Procurement Manager</x:v>
      </x:c>
      <x:c r="N112" s="47" t="str">
        <x:v>Role identified; person not yet verified</x:v>
      </x:c>
      <x:c r="O112" s="47" t="str">
        <x:v>Energy Infrastructure</x:v>
      </x:c>
      <x:c r="P112" s="47" t="str">
        <x:v>Sales Rep A - Massachusetts</x:v>
      </x:c>
      <x:c r="Q112" s="47" t="str">
        <x:v>https://www.epa.gov/ghgreporting/data-sets</x:v>
      </x:c>
      <x:c r="R112" s="44" t="n">
        <x:v>1003769</x:v>
      </x:c>
      <x:c r="S112" s="45" t="n">
        <x:f>VLOOKUP(H112,'Rules and Assumptions'!$A$5:$B$10,2,FALSE)</x:f>
        <x:v>20</x:v>
      </x:c>
      <x:c r="T112" s="45" t="n">
        <x:f>VLOOKUP(E112,'Rules and Assumptions'!$D$5:$F$15,2,FALSE)</x:f>
        <x:v>15</x:v>
      </x:c>
      <x:c r="U112" s="45" t="n">
        <x:f>VLOOKUP(J112,'Rules and Assumptions'!$H$5:$J$9,2,TRUE)</x:f>
        <x:v>10</x:v>
      </x:c>
      <x:c r="V112" s="45" t="n">
        <x:f>IF(D112&lt;&gt;"",4,0)+IF(F112&lt;&gt;"",2,0)+IF(G112&lt;&gt;"",1,0)+IF(L112&lt;&gt;"",2,0)+IF(R112&lt;&gt;"",1,0)</x:f>
        <x:v>10</x:v>
      </x:c>
      <x:c r="W112" s="45" t="n">
        <x:f>VLOOKUP(E112,'Rules and Assumptions'!$D$5:$F$15,3,FALSE)</x:f>
        <x:v>7</x:v>
      </x:c>
      <x:c r="X112" s="45" t="n">
        <x:f>SUM(S112:W112)</x:f>
        <x:v>62</x:v>
      </x:c>
      <x:c r="Y112" s="45" t="n">
        <x:f>RANK.EQ(X112,$X$5:$X$164,0)+COUNTIF($X$5:X112,X112)-1</x:f>
        <x:v>108</x:v>
      </x:c>
      <x:c r="Z112" s="43" t="str">
        <x:f>IF(Y112&lt;='Rules and Assumptions'!$M$5,"High",IF(Y112&lt;='Rules and Assumptions'!$M$6,"Medium","Low"))</x:f>
        <x:v>Low</x:v>
      </x:c>
      <x:c r="AA112" s="43" t="str">
        <x:f>LOWER(TRIM(B112))</x:f>
        <x:v>ghgrp-1003769</x:v>
      </x:c>
      <x:c r="AB112" s="43" t="str">
        <x:f>IF(COUNTIF($AA$5:$AA$164,AA112)&gt;1,"Review","Unique")</x:f>
        <x:v>Unique</x:v>
      </x:c>
      <x:c r="AC112" s="47" t="str">
        <x:v>Energy-sector operator; retain for market intelligence and qualify end-customer purchasing fit.</x:v>
      </x:c>
      <x:c r="AD112" s="46" t="n">
        <x:v>45520</x:v>
      </x:c>
    </x:row>
    <x:row r="113">
      <x:c r="A113" s="41" t="str">
        <x:v>NE-109</x:v>
      </x:c>
      <x:c r="B113" s="41" t="str">
        <x:v>GHGRP-1001338</x:v>
      </x:c>
      <x:c r="C113" s="47" t="str">
        <x:v>Lake Road Generating Company - Dayville, CT</x:v>
      </x:c>
      <x:c r="D113" s="47" t="str">
        <x:v>Vistra Corp</x:v>
      </x:c>
      <x:c r="E113" s="47" t="str">
        <x:v>Power Plants</x:v>
      </x:c>
      <x:c r="F113" s="41" t="str">
        <x:v>221112</x:v>
      </x:c>
      <x:c r="G113" s="41" t="str">
        <x:v>Dayville</x:v>
      </x:c>
      <x:c r="H113" s="41" t="str">
        <x:v>CT</x:v>
      </x:c>
      <x:c r="I113" s="41" t="str">
        <x:v>06241</x:v>
      </x:c>
      <x:c r="J113" s="42" t="n">
        <x:v>2159025.448</x:v>
      </x:c>
      <x:c r="K113" s="43" t="str">
        <x:f>VLOOKUP(J113,'Rules and Assumptions'!$H$5:$J$9,3,TRUE)</x:f>
        <x:v>Enterprise Reporting Load</x:v>
      </x:c>
      <x:c r="L113" s="47" t="str">
        <x:v>Plant Manager</x:v>
      </x:c>
      <x:c r="M113" s="47" t="str">
        <x:v>Director of Operations</x:v>
      </x:c>
      <x:c r="N113" s="47" t="str">
        <x:v>Role identified; person not yet verified</x:v>
      </x:c>
      <x:c r="O113" s="47" t="str">
        <x:v>Market Intelligence - Generation</x:v>
      </x:c>
      <x:c r="P113" s="47" t="str">
        <x:v>Sales Rep B - Connecticut/Rhode Island</x:v>
      </x:c>
      <x:c r="Q113" s="47" t="str">
        <x:v>https://www.epa.gov/ghgreporting/data-sets</x:v>
      </x:c>
      <x:c r="R113" s="44" t="n">
        <x:v>1001338</x:v>
      </x:c>
      <x:c r="S113" s="45" t="n">
        <x:f>VLOOKUP(H113,'Rules and Assumptions'!$A$5:$B$10,2,FALSE)</x:f>
        <x:v>16</x:v>
      </x:c>
      <x:c r="T113" s="45" t="n">
        <x:f>VLOOKUP(E113,'Rules and Assumptions'!$D$5:$F$15,2,FALSE)</x:f>
        <x:v>5</x:v>
      </x:c>
      <x:c r="U113" s="45" t="n">
        <x:f>VLOOKUP(J113,'Rules and Assumptions'!$H$5:$J$9,2,TRUE)</x:f>
        <x:v>30</x:v>
      </x:c>
      <x:c r="V113" s="45" t="n">
        <x:f>IF(D113&lt;&gt;"",4,0)+IF(F113&lt;&gt;"",2,0)+IF(G113&lt;&gt;"",1,0)+IF(L113&lt;&gt;"",2,0)+IF(R113&lt;&gt;"",1,0)</x:f>
        <x:v>10</x:v>
      </x:c>
      <x:c r="W113" s="45" t="n">
        <x:f>VLOOKUP(E113,'Rules and Assumptions'!$D$5:$F$15,3,FALSE)</x:f>
        <x:v>0</x:v>
      </x:c>
      <x:c r="X113" s="45" t="n">
        <x:f>SUM(S113:W113)</x:f>
        <x:v>61</x:v>
      </x:c>
      <x:c r="Y113" s="45" t="n">
        <x:f>RANK.EQ(X113,$X$5:$X$164,0)+COUNTIF($X$5:X113,X113)-1</x:f>
        <x:v>109</x:v>
      </x:c>
      <x:c r="Z113" s="43" t="str">
        <x:f>IF(Y113&lt;='Rules and Assumptions'!$M$5,"High",IF(Y113&lt;='Rules and Assumptions'!$M$6,"Medium","Low"))</x:f>
        <x:v>Low</x:v>
      </x:c>
      <x:c r="AA113" s="43" t="str">
        <x:f>LOWER(TRIM(B113))</x:f>
        <x:v>ghgrp-1001338</x:v>
      </x:c>
      <x:c r="AB113" s="43" t="str">
        <x:f>IF(COUNTIF($AA$5:$AA$164,AA113)&gt;1,"Review","Unique")</x:f>
        <x:v>Unique</x:v>
      </x:c>
      <x:c r="AC113" s="47" t="str">
        <x:v>Generation facility; low end-customer fit, retained for market context and qualification practice.</x:v>
      </x:c>
      <x:c r="AD113" s="46" t="n">
        <x:v>45520</x:v>
      </x:c>
    </x:row>
    <x:row r="114">
      <x:c r="A114" s="41" t="str">
        <x:v>NE-110</x:v>
      </x:c>
      <x:c r="B114" s="41" t="str">
        <x:v>GHGRP-1013223</x:v>
      </x:c>
      <x:c r="C114" s="47" t="str">
        <x:v>CPV Towantic Energy Center - Oxford, CT</x:v>
      </x:c>
      <x:c r="D114" s="47" t="str">
        <x:v>OSAKA GAS USA CORP</x:v>
      </x:c>
      <x:c r="E114" s="47" t="str">
        <x:v>Power Plants</x:v>
      </x:c>
      <x:c r="F114" s="41" t="str">
        <x:v>221112</x:v>
      </x:c>
      <x:c r="G114" s="41" t="str">
        <x:v>Oxford</x:v>
      </x:c>
      <x:c r="H114" s="41" t="str">
        <x:v>CT</x:v>
      </x:c>
      <x:c r="I114" s="41" t="str">
        <x:v>06478</x:v>
      </x:c>
      <x:c r="J114" s="42" t="n">
        <x:v>1938201.386</x:v>
      </x:c>
      <x:c r="K114" s="43" t="str">
        <x:f>VLOOKUP(J114,'Rules and Assumptions'!$H$5:$J$9,3,TRUE)</x:f>
        <x:v>Enterprise Reporting Load</x:v>
      </x:c>
      <x:c r="L114" s="47" t="str">
        <x:v>Plant Manager</x:v>
      </x:c>
      <x:c r="M114" s="47" t="str">
        <x:v>Director of Operations</x:v>
      </x:c>
      <x:c r="N114" s="47" t="str">
        <x:v>Role identified; person not yet verified</x:v>
      </x:c>
      <x:c r="O114" s="47" t="str">
        <x:v>Market Intelligence - Generation</x:v>
      </x:c>
      <x:c r="P114" s="47" t="str">
        <x:v>Sales Rep B - Connecticut/Rhode Island</x:v>
      </x:c>
      <x:c r="Q114" s="47" t="str">
        <x:v>https://www.epa.gov/ghgreporting/data-sets</x:v>
      </x:c>
      <x:c r="R114" s="44" t="n">
        <x:v>1013223</x:v>
      </x:c>
      <x:c r="S114" s="45" t="n">
        <x:f>VLOOKUP(H114,'Rules and Assumptions'!$A$5:$B$10,2,FALSE)</x:f>
        <x:v>16</x:v>
      </x:c>
      <x:c r="T114" s="45" t="n">
        <x:f>VLOOKUP(E114,'Rules and Assumptions'!$D$5:$F$15,2,FALSE)</x:f>
        <x:v>5</x:v>
      </x:c>
      <x:c r="U114" s="45" t="n">
        <x:f>VLOOKUP(J114,'Rules and Assumptions'!$H$5:$J$9,2,TRUE)</x:f>
        <x:v>30</x:v>
      </x:c>
      <x:c r="V114" s="45" t="n">
        <x:f>IF(D114&lt;&gt;"",4,0)+IF(F114&lt;&gt;"",2,0)+IF(G114&lt;&gt;"",1,0)+IF(L114&lt;&gt;"",2,0)+IF(R114&lt;&gt;"",1,0)</x:f>
        <x:v>10</x:v>
      </x:c>
      <x:c r="W114" s="45" t="n">
        <x:f>VLOOKUP(E114,'Rules and Assumptions'!$D$5:$F$15,3,FALSE)</x:f>
        <x:v>0</x:v>
      </x:c>
      <x:c r="X114" s="45" t="n">
        <x:f>SUM(S114:W114)</x:f>
        <x:v>61</x:v>
      </x:c>
      <x:c r="Y114" s="45" t="n">
        <x:f>RANK.EQ(X114,$X$5:$X$164,0)+COUNTIF($X$5:X114,X114)-1</x:f>
        <x:v>110</x:v>
      </x:c>
      <x:c r="Z114" s="43" t="str">
        <x:f>IF(Y114&lt;='Rules and Assumptions'!$M$5,"High",IF(Y114&lt;='Rules and Assumptions'!$M$6,"Medium","Low"))</x:f>
        <x:v>Low</x:v>
      </x:c>
      <x:c r="AA114" s="43" t="str">
        <x:f>LOWER(TRIM(B114))</x:f>
        <x:v>ghgrp-1013223</x:v>
      </x:c>
      <x:c r="AB114" s="43" t="str">
        <x:f>IF(COUNTIF($AA$5:$AA$164,AA114)&gt;1,"Review","Unique")</x:f>
        <x:v>Unique</x:v>
      </x:c>
      <x:c r="AC114" s="47" t="str">
        <x:v>Generation facility; low end-customer fit, retained for market context and qualification practice.</x:v>
      </x:c>
      <x:c r="AD114" s="46" t="n">
        <x:v>45520</x:v>
      </x:c>
    </x:row>
    <x:row r="115">
      <x:c r="A115" s="41" t="str">
        <x:v>NE-111</x:v>
      </x:c>
      <x:c r="B115" s="41" t="str">
        <x:v>GHGRP-1007307</x:v>
      </x:c>
      <x:c r="C115" s="47" t="str">
        <x:v>Milford Power Company LLC - Milford, CT</x:v>
      </x:c>
      <x:c r="D115" s="47" t="str">
        <x:v>Vistra Corp</x:v>
      </x:c>
      <x:c r="E115" s="47" t="str">
        <x:v>Power Plants</x:v>
      </x:c>
      <x:c r="F115" s="41" t="str">
        <x:v>221112</x:v>
      </x:c>
      <x:c r="G115" s="41" t="str">
        <x:v>Milford</x:v>
      </x:c>
      <x:c r="H115" s="41" t="str">
        <x:v>CT</x:v>
      </x:c>
      <x:c r="I115" s="41" t="str">
        <x:v>06460</x:v>
      </x:c>
      <x:c r="J115" s="42" t="n">
        <x:v>1425972.916</x:v>
      </x:c>
      <x:c r="K115" s="43" t="str">
        <x:f>VLOOKUP(J115,'Rules and Assumptions'!$H$5:$J$9,3,TRUE)</x:f>
        <x:v>Enterprise Reporting Load</x:v>
      </x:c>
      <x:c r="L115" s="47" t="str">
        <x:v>Plant Manager</x:v>
      </x:c>
      <x:c r="M115" s="47" t="str">
        <x:v>Director of Operations</x:v>
      </x:c>
      <x:c r="N115" s="47" t="str">
        <x:v>Role identified; person not yet verified</x:v>
      </x:c>
      <x:c r="O115" s="47" t="str">
        <x:v>Market Intelligence - Generation</x:v>
      </x:c>
      <x:c r="P115" s="47" t="str">
        <x:v>Sales Rep B - Connecticut/Rhode Island</x:v>
      </x:c>
      <x:c r="Q115" s="47" t="str">
        <x:v>https://www.epa.gov/ghgreporting/data-sets</x:v>
      </x:c>
      <x:c r="R115" s="44" t="n">
        <x:v>1007307</x:v>
      </x:c>
      <x:c r="S115" s="45" t="n">
        <x:f>VLOOKUP(H115,'Rules and Assumptions'!$A$5:$B$10,2,FALSE)</x:f>
        <x:v>16</x:v>
      </x:c>
      <x:c r="T115" s="45" t="n">
        <x:f>VLOOKUP(E115,'Rules and Assumptions'!$D$5:$F$15,2,FALSE)</x:f>
        <x:v>5</x:v>
      </x:c>
      <x:c r="U115" s="45" t="n">
        <x:f>VLOOKUP(J115,'Rules and Assumptions'!$H$5:$J$9,2,TRUE)</x:f>
        <x:v>30</x:v>
      </x:c>
      <x:c r="V115" s="45" t="n">
        <x:f>IF(D115&lt;&gt;"",4,0)+IF(F115&lt;&gt;"",2,0)+IF(G115&lt;&gt;"",1,0)+IF(L115&lt;&gt;"",2,0)+IF(R115&lt;&gt;"",1,0)</x:f>
        <x:v>10</x:v>
      </x:c>
      <x:c r="W115" s="45" t="n">
        <x:f>VLOOKUP(E115,'Rules and Assumptions'!$D$5:$F$15,3,FALSE)</x:f>
        <x:v>0</x:v>
      </x:c>
      <x:c r="X115" s="45" t="n">
        <x:f>SUM(S115:W115)</x:f>
        <x:v>61</x:v>
      </x:c>
      <x:c r="Y115" s="45" t="n">
        <x:f>RANK.EQ(X115,$X$5:$X$164,0)+COUNTIF($X$5:X115,X115)-1</x:f>
        <x:v>111</x:v>
      </x:c>
      <x:c r="Z115" s="43" t="str">
        <x:f>IF(Y115&lt;='Rules and Assumptions'!$M$5,"High",IF(Y115&lt;='Rules and Assumptions'!$M$6,"Medium","Low"))</x:f>
        <x:v>Low</x:v>
      </x:c>
      <x:c r="AA115" s="43" t="str">
        <x:f>LOWER(TRIM(B115))</x:f>
        <x:v>ghgrp-1007307</x:v>
      </x:c>
      <x:c r="AB115" s="43" t="str">
        <x:f>IF(COUNTIF($AA$5:$AA$164,AA115)&gt;1,"Review","Unique")</x:f>
        <x:v>Unique</x:v>
      </x:c>
      <x:c r="AC115" s="47" t="str">
        <x:v>Generation facility; low end-customer fit, retained for market context and qualification practice.</x:v>
      </x:c>
      <x:c r="AD115" s="46" t="n">
        <x:v>45520</x:v>
      </x:c>
    </x:row>
    <x:row r="116">
      <x:c r="A116" s="41" t="str">
        <x:v>NE-112</x:v>
      </x:c>
      <x:c r="B116" s="41" t="str">
        <x:v>GHGRP-1001315</x:v>
      </x:c>
      <x:c r="C116" s="47" t="str">
        <x:v>Rhode Island State Energy Center - Johnston, RI</x:v>
      </x:c>
      <x:c r="D116" s="47" t="str">
        <x:v>RHODE ISLAND STATE ENERGY CENTER LP</x:v>
      </x:c>
      <x:c r="E116" s="47" t="str">
        <x:v>Power Plants</x:v>
      </x:c>
      <x:c r="F116" s="41" t="str">
        <x:v>221112</x:v>
      </x:c>
      <x:c r="G116" s="41" t="str">
        <x:v>Johnston</x:v>
      </x:c>
      <x:c r="H116" s="41" t="str">
        <x:v>RI</x:v>
      </x:c>
      <x:c r="I116" s="41" t="str">
        <x:v>02919</x:v>
      </x:c>
      <x:c r="J116" s="42" t="n">
        <x:v>1361847.604</x:v>
      </x:c>
      <x:c r="K116" s="43" t="str">
        <x:f>VLOOKUP(J116,'Rules and Assumptions'!$H$5:$J$9,3,TRUE)</x:f>
        <x:v>Enterprise Reporting Load</x:v>
      </x:c>
      <x:c r="L116" s="47" t="str">
        <x:v>Plant Manager</x:v>
      </x:c>
      <x:c r="M116" s="47" t="str">
        <x:v>Director of Operations</x:v>
      </x:c>
      <x:c r="N116" s="47" t="str">
        <x:v>Role identified; person not yet verified</x:v>
      </x:c>
      <x:c r="O116" s="47" t="str">
        <x:v>Market Intelligence - Generation</x:v>
      </x:c>
      <x:c r="P116" s="47" t="str">
        <x:v>Sales Rep B - Connecticut/Rhode Island</x:v>
      </x:c>
      <x:c r="Q116" s="47" t="str">
        <x:v>https://www.epa.gov/ghgreporting/data-sets</x:v>
      </x:c>
      <x:c r="R116" s="44" t="n">
        <x:v>1001315</x:v>
      </x:c>
      <x:c r="S116" s="45" t="n">
        <x:f>VLOOKUP(H116,'Rules and Assumptions'!$A$5:$B$10,2,FALSE)</x:f>
        <x:v>16</x:v>
      </x:c>
      <x:c r="T116" s="45" t="n">
        <x:f>VLOOKUP(E116,'Rules and Assumptions'!$D$5:$F$15,2,FALSE)</x:f>
        <x:v>5</x:v>
      </x:c>
      <x:c r="U116" s="45" t="n">
        <x:f>VLOOKUP(J116,'Rules and Assumptions'!$H$5:$J$9,2,TRUE)</x:f>
        <x:v>30</x:v>
      </x:c>
      <x:c r="V116" s="45" t="n">
        <x:f>IF(D116&lt;&gt;"",4,0)+IF(F116&lt;&gt;"",2,0)+IF(G116&lt;&gt;"",1,0)+IF(L116&lt;&gt;"",2,0)+IF(R116&lt;&gt;"",1,0)</x:f>
        <x:v>10</x:v>
      </x:c>
      <x:c r="W116" s="45" t="n">
        <x:f>VLOOKUP(E116,'Rules and Assumptions'!$D$5:$F$15,3,FALSE)</x:f>
        <x:v>0</x:v>
      </x:c>
      <x:c r="X116" s="45" t="n">
        <x:f>SUM(S116:W116)</x:f>
        <x:v>61</x:v>
      </x:c>
      <x:c r="Y116" s="45" t="n">
        <x:f>RANK.EQ(X116,$X$5:$X$164,0)+COUNTIF($X$5:X116,X116)-1</x:f>
        <x:v>112</x:v>
      </x:c>
      <x:c r="Z116" s="43" t="str">
        <x:f>IF(Y116&lt;='Rules and Assumptions'!$M$5,"High",IF(Y116&lt;='Rules and Assumptions'!$M$6,"Medium","Low"))</x:f>
        <x:v>Low</x:v>
      </x:c>
      <x:c r="AA116" s="43" t="str">
        <x:f>LOWER(TRIM(B116))</x:f>
        <x:v>ghgrp-1001315</x:v>
      </x:c>
      <x:c r="AB116" s="43" t="str">
        <x:f>IF(COUNTIF($AA$5:$AA$164,AA116)&gt;1,"Review","Unique")</x:f>
        <x:v>Unique</x:v>
      </x:c>
      <x:c r="AC116" s="47" t="str">
        <x:v>Generation facility; low end-customer fit, retained for market context and qualification practice.</x:v>
      </x:c>
      <x:c r="AD116" s="46" t="n">
        <x:v>45520</x:v>
      </x:c>
    </x:row>
    <x:row r="117">
      <x:c r="A117" s="41" t="str">
        <x:v>NE-113</x:v>
      </x:c>
      <x:c r="B117" s="41" t="str">
        <x:v>GHGRP-1001345</x:v>
      </x:c>
      <x:c r="C117" s="47" t="str">
        <x:v>Granite Ridge Energy - Londonderry, NH</x:v>
      </x:c>
      <x:c r="D117" s="47" t="str">
        <x:v>CPN MANAGEMENT LP</x:v>
      </x:c>
      <x:c r="E117" s="47" t="str">
        <x:v>Power Plants</x:v>
      </x:c>
      <x:c r="F117" s="41" t="str">
        <x:v>221112</x:v>
      </x:c>
      <x:c r="G117" s="41" t="str">
        <x:v>Londonderry</x:v>
      </x:c>
      <x:c r="H117" s="41" t="str">
        <x:v>NH</x:v>
      </x:c>
      <x:c r="I117" s="41" t="str">
        <x:v>03053</x:v>
      </x:c>
      <x:c r="J117" s="42" t="n">
        <x:v>1299587.984</x:v>
      </x:c>
      <x:c r="K117" s="43" t="str">
        <x:f>VLOOKUP(J117,'Rules and Assumptions'!$H$5:$J$9,3,TRUE)</x:f>
        <x:v>Enterprise Reporting Load</x:v>
      </x:c>
      <x:c r="L117" s="47" t="str">
        <x:v>Plant Manager</x:v>
      </x:c>
      <x:c r="M117" s="47" t="str">
        <x:v>Director of Operations</x:v>
      </x:c>
      <x:c r="N117" s="47" t="str">
        <x:v>Role identified; person not yet verified</x:v>
      </x:c>
      <x:c r="O117" s="47" t="str">
        <x:v>Market Intelligence - Generation</x:v>
      </x:c>
      <x:c r="P117" s="47" t="str">
        <x:v>Sales Rep C - Northern New England</x:v>
      </x:c>
      <x:c r="Q117" s="47" t="str">
        <x:v>https://www.epa.gov/ghgreporting/data-sets</x:v>
      </x:c>
      <x:c r="R117" s="44" t="n">
        <x:v>1001345</x:v>
      </x:c>
      <x:c r="S117" s="45" t="n">
        <x:f>VLOOKUP(H117,'Rules and Assumptions'!$A$5:$B$10,2,FALSE)</x:f>
        <x:v>16</x:v>
      </x:c>
      <x:c r="T117" s="45" t="n">
        <x:f>VLOOKUP(E117,'Rules and Assumptions'!$D$5:$F$15,2,FALSE)</x:f>
        <x:v>5</x:v>
      </x:c>
      <x:c r="U117" s="45" t="n">
        <x:f>VLOOKUP(J117,'Rules and Assumptions'!$H$5:$J$9,2,TRUE)</x:f>
        <x:v>30</x:v>
      </x:c>
      <x:c r="V117" s="45" t="n">
        <x:f>IF(D117&lt;&gt;"",4,0)+IF(F117&lt;&gt;"",2,0)+IF(G117&lt;&gt;"",1,0)+IF(L117&lt;&gt;"",2,0)+IF(R117&lt;&gt;"",1,0)</x:f>
        <x:v>10</x:v>
      </x:c>
      <x:c r="W117" s="45" t="n">
        <x:f>VLOOKUP(E117,'Rules and Assumptions'!$D$5:$F$15,3,FALSE)</x:f>
        <x:v>0</x:v>
      </x:c>
      <x:c r="X117" s="45" t="n">
        <x:f>SUM(S117:W117)</x:f>
        <x:v>61</x:v>
      </x:c>
      <x:c r="Y117" s="45" t="n">
        <x:f>RANK.EQ(X117,$X$5:$X$164,0)+COUNTIF($X$5:X117,X117)-1</x:f>
        <x:v>113</x:v>
      </x:c>
      <x:c r="Z117" s="43" t="str">
        <x:f>IF(Y117&lt;='Rules and Assumptions'!$M$5,"High",IF(Y117&lt;='Rules and Assumptions'!$M$6,"Medium","Low"))</x:f>
        <x:v>Low</x:v>
      </x:c>
      <x:c r="AA117" s="43" t="str">
        <x:f>LOWER(TRIM(B117))</x:f>
        <x:v>ghgrp-1001345</x:v>
      </x:c>
      <x:c r="AB117" s="43" t="str">
        <x:f>IF(COUNTIF($AA$5:$AA$164,AA117)&gt;1,"Review","Unique")</x:f>
        <x:v>Unique</x:v>
      </x:c>
      <x:c r="AC117" s="47" t="str">
        <x:v>Generation facility; low end-customer fit, retained for market context and qualification practice.</x:v>
      </x:c>
      <x:c r="AD117" s="46" t="n">
        <x:v>45520</x:v>
      </x:c>
    </x:row>
    <x:row r="118">
      <x:c r="A118" s="41" t="str">
        <x:v>NE-114</x:v>
      </x:c>
      <x:c r="B118" s="41" t="str">
        <x:v>GHGRP-1006949</x:v>
      </x:c>
      <x:c r="C118" s="47" t="str">
        <x:v>Bridgeport Harbor Station - Bridgeport, CT</x:v>
      </x:c>
      <x:c r="D118" s="47" t="str">
        <x:v>ARCLIGHT ENERGY PARTNERS FUND VII LP</x:v>
      </x:c>
      <x:c r="E118" s="47" t="str">
        <x:v>Power Plants</x:v>
      </x:c>
      <x:c r="F118" s="41" t="str">
        <x:v>221112</x:v>
      </x:c>
      <x:c r="G118" s="41" t="str">
        <x:v>Bridgeport</x:v>
      </x:c>
      <x:c r="H118" s="41" t="str">
        <x:v>CT</x:v>
      </x:c>
      <x:c r="I118" s="41" t="str">
        <x:v>06604</x:v>
      </x:c>
      <x:c r="J118" s="42" t="n">
        <x:v>1067502.25</x:v>
      </x:c>
      <x:c r="K118" s="43" t="str">
        <x:f>VLOOKUP(J118,'Rules and Assumptions'!$H$5:$J$9,3,TRUE)</x:f>
        <x:v>Enterprise Reporting Load</x:v>
      </x:c>
      <x:c r="L118" s="47" t="str">
        <x:v>Plant Manager</x:v>
      </x:c>
      <x:c r="M118" s="47" t="str">
        <x:v>Director of Operations</x:v>
      </x:c>
      <x:c r="N118" s="47" t="str">
        <x:v>Role identified; person not yet verified</x:v>
      </x:c>
      <x:c r="O118" s="47" t="str">
        <x:v>Market Intelligence - Generation</x:v>
      </x:c>
      <x:c r="P118" s="47" t="str">
        <x:v>Sales Rep B - Connecticut/Rhode Island</x:v>
      </x:c>
      <x:c r="Q118" s="47" t="str">
        <x:v>https://www.epa.gov/ghgreporting/data-sets</x:v>
      </x:c>
      <x:c r="R118" s="44" t="n">
        <x:v>1006949</x:v>
      </x:c>
      <x:c r="S118" s="45" t="n">
        <x:f>VLOOKUP(H118,'Rules and Assumptions'!$A$5:$B$10,2,FALSE)</x:f>
        <x:v>16</x:v>
      </x:c>
      <x:c r="T118" s="45" t="n">
        <x:f>VLOOKUP(E118,'Rules and Assumptions'!$D$5:$F$15,2,FALSE)</x:f>
        <x:v>5</x:v>
      </x:c>
      <x:c r="U118" s="45" t="n">
        <x:f>VLOOKUP(J118,'Rules and Assumptions'!$H$5:$J$9,2,TRUE)</x:f>
        <x:v>30</x:v>
      </x:c>
      <x:c r="V118" s="45" t="n">
        <x:f>IF(D118&lt;&gt;"",4,0)+IF(F118&lt;&gt;"",2,0)+IF(G118&lt;&gt;"",1,0)+IF(L118&lt;&gt;"",2,0)+IF(R118&lt;&gt;"",1,0)</x:f>
        <x:v>10</x:v>
      </x:c>
      <x:c r="W118" s="45" t="n">
        <x:f>VLOOKUP(E118,'Rules and Assumptions'!$D$5:$F$15,3,FALSE)</x:f>
        <x:v>0</x:v>
      </x:c>
      <x:c r="X118" s="45" t="n">
        <x:f>SUM(S118:W118)</x:f>
        <x:v>61</x:v>
      </x:c>
      <x:c r="Y118" s="45" t="n">
        <x:f>RANK.EQ(X118,$X$5:$X$164,0)+COUNTIF($X$5:X118,X118)-1</x:f>
        <x:v>114</x:v>
      </x:c>
      <x:c r="Z118" s="43" t="str">
        <x:f>IF(Y118&lt;='Rules and Assumptions'!$M$5,"High",IF(Y118&lt;='Rules and Assumptions'!$M$6,"Medium","Low"))</x:f>
        <x:v>Low</x:v>
      </x:c>
      <x:c r="AA118" s="43" t="str">
        <x:f>LOWER(TRIM(B118))</x:f>
        <x:v>ghgrp-1006949</x:v>
      </x:c>
      <x:c r="AB118" s="43" t="str">
        <x:f>IF(COUNTIF($AA$5:$AA$164,AA118)&gt;1,"Review","Unique")</x:f>
        <x:v>Unique</x:v>
      </x:c>
      <x:c r="AC118" s="47" t="str">
        <x:v>Generation facility; low end-customer fit, retained for market context and qualification practice.</x:v>
      </x:c>
      <x:c r="AD118" s="46" t="n">
        <x:v>45520</x:v>
      </x:c>
    </x:row>
    <x:row r="119">
      <x:c r="A119" s="41" t="str">
        <x:v>NE-115</x:v>
      </x:c>
      <x:c r="B119" s="41" t="str">
        <x:v>GHGRP-1002802</x:v>
      </x:c>
      <x:c r="C119" s="47" t="str">
        <x:v>KLEEN ENERGY SYSTEMS POWER PLANT - Middletown, CT</x:v>
      </x:c>
      <x:c r="D119" s="47" t="str">
        <x:v>KLEEN ENERGY SYSTEMS LLC</x:v>
      </x:c>
      <x:c r="E119" s="47" t="str">
        <x:v>Power Plants</x:v>
      </x:c>
      <x:c r="F119" s="41" t="str">
        <x:v>221112</x:v>
      </x:c>
      <x:c r="G119" s="41" t="str">
        <x:v>Middletown</x:v>
      </x:c>
      <x:c r="H119" s="41" t="str">
        <x:v>CT</x:v>
      </x:c>
      <x:c r="I119" s="41" t="str">
        <x:v>06457</x:v>
      </x:c>
      <x:c r="J119" s="42" t="n">
        <x:v>1014344.376</x:v>
      </x:c>
      <x:c r="K119" s="43" t="str">
        <x:f>VLOOKUP(J119,'Rules and Assumptions'!$H$5:$J$9,3,TRUE)</x:f>
        <x:v>Enterprise Reporting Load</x:v>
      </x:c>
      <x:c r="L119" s="47" t="str">
        <x:v>Plant Manager</x:v>
      </x:c>
      <x:c r="M119" s="47" t="str">
        <x:v>Director of Operations</x:v>
      </x:c>
      <x:c r="N119" s="47" t="str">
        <x:v>Role identified; person not yet verified</x:v>
      </x:c>
      <x:c r="O119" s="47" t="str">
        <x:v>Market Intelligence - Generation</x:v>
      </x:c>
      <x:c r="P119" s="47" t="str">
        <x:v>Sales Rep B - Connecticut/Rhode Island</x:v>
      </x:c>
      <x:c r="Q119" s="47" t="str">
        <x:v>https://www.epa.gov/ghgreporting/data-sets</x:v>
      </x:c>
      <x:c r="R119" s="44" t="n">
        <x:v>1002802</x:v>
      </x:c>
      <x:c r="S119" s="45" t="n">
        <x:f>VLOOKUP(H119,'Rules and Assumptions'!$A$5:$B$10,2,FALSE)</x:f>
        <x:v>16</x:v>
      </x:c>
      <x:c r="T119" s="45" t="n">
        <x:f>VLOOKUP(E119,'Rules and Assumptions'!$D$5:$F$15,2,FALSE)</x:f>
        <x:v>5</x:v>
      </x:c>
      <x:c r="U119" s="45" t="n">
        <x:f>VLOOKUP(J119,'Rules and Assumptions'!$H$5:$J$9,2,TRUE)</x:f>
        <x:v>30</x:v>
      </x:c>
      <x:c r="V119" s="45" t="n">
        <x:f>IF(D119&lt;&gt;"",4,0)+IF(F119&lt;&gt;"",2,0)+IF(G119&lt;&gt;"",1,0)+IF(L119&lt;&gt;"",2,0)+IF(R119&lt;&gt;"",1,0)</x:f>
        <x:v>10</x:v>
      </x:c>
      <x:c r="W119" s="45" t="n">
        <x:f>VLOOKUP(E119,'Rules and Assumptions'!$D$5:$F$15,3,FALSE)</x:f>
        <x:v>0</x:v>
      </x:c>
      <x:c r="X119" s="45" t="n">
        <x:f>SUM(S119:W119)</x:f>
        <x:v>61</x:v>
      </x:c>
      <x:c r="Y119" s="45" t="n">
        <x:f>RANK.EQ(X119,$X$5:$X$164,0)+COUNTIF($X$5:X119,X119)-1</x:f>
        <x:v>115</x:v>
      </x:c>
      <x:c r="Z119" s="43" t="str">
        <x:f>IF(Y119&lt;='Rules and Assumptions'!$M$5,"High",IF(Y119&lt;='Rules and Assumptions'!$M$6,"Medium","Low"))</x:f>
        <x:v>Low</x:v>
      </x:c>
      <x:c r="AA119" s="43" t="str">
        <x:f>LOWER(TRIM(B119))</x:f>
        <x:v>ghgrp-1002802</x:v>
      </x:c>
      <x:c r="AB119" s="43" t="str">
        <x:f>IF(COUNTIF($AA$5:$AA$164,AA119)&gt;1,"Review","Unique")</x:f>
        <x:v>Unique</x:v>
      </x:c>
      <x:c r="AC119" s="47" t="str">
        <x:v>Generation facility; low end-customer fit, retained for market context and qualification practice.</x:v>
      </x:c>
      <x:c r="AD119" s="46" t="n">
        <x:v>45520</x:v>
      </x:c>
    </x:row>
    <x:row r="120">
      <x:c r="A120" s="41" t="str">
        <x:v>NE-116</x:v>
      </x:c>
      <x:c r="B120" s="41" t="str">
        <x:v>GHGRP-1001299</x:v>
      </x:c>
      <x:c r="C120" s="47" t="str">
        <x:v>Bridgeport Energy - Bridgeport, CT</x:v>
      </x:c>
      <x:c r="D120" s="47" t="str">
        <x:v>BRIDGEPORT ENERGY LLC</x:v>
      </x:c>
      <x:c r="E120" s="47" t="str">
        <x:v>Power Plants</x:v>
      </x:c>
      <x:c r="F120" s="41" t="str">
        <x:v>221112</x:v>
      </x:c>
      <x:c r="G120" s="41" t="str">
        <x:v>Bridgeport</x:v>
      </x:c>
      <x:c r="H120" s="41" t="str">
        <x:v>CT</x:v>
      </x:c>
      <x:c r="I120" s="41" t="str">
        <x:v>06604</x:v>
      </x:c>
      <x:c r="J120" s="42" t="n">
        <x:v>1012876.096</x:v>
      </x:c>
      <x:c r="K120" s="43" t="str">
        <x:f>VLOOKUP(J120,'Rules and Assumptions'!$H$5:$J$9,3,TRUE)</x:f>
        <x:v>Enterprise Reporting Load</x:v>
      </x:c>
      <x:c r="L120" s="47" t="str">
        <x:v>Plant Manager</x:v>
      </x:c>
      <x:c r="M120" s="47" t="str">
        <x:v>Director of Operations</x:v>
      </x:c>
      <x:c r="N120" s="47" t="str">
        <x:v>Role identified; person not yet verified</x:v>
      </x:c>
      <x:c r="O120" s="47" t="str">
        <x:v>Market Intelligence - Generation</x:v>
      </x:c>
      <x:c r="P120" s="47" t="str">
        <x:v>Sales Rep B - Connecticut/Rhode Island</x:v>
      </x:c>
      <x:c r="Q120" s="47" t="str">
        <x:v>https://www.epa.gov/ghgreporting/data-sets</x:v>
      </x:c>
      <x:c r="R120" s="44" t="n">
        <x:v>1001299</x:v>
      </x:c>
      <x:c r="S120" s="45" t="n">
        <x:f>VLOOKUP(H120,'Rules and Assumptions'!$A$5:$B$10,2,FALSE)</x:f>
        <x:v>16</x:v>
      </x:c>
      <x:c r="T120" s="45" t="n">
        <x:f>VLOOKUP(E120,'Rules and Assumptions'!$D$5:$F$15,2,FALSE)</x:f>
        <x:v>5</x:v>
      </x:c>
      <x:c r="U120" s="45" t="n">
        <x:f>VLOOKUP(J120,'Rules and Assumptions'!$H$5:$J$9,2,TRUE)</x:f>
        <x:v>30</x:v>
      </x:c>
      <x:c r="V120" s="45" t="n">
        <x:f>IF(D120&lt;&gt;"",4,0)+IF(F120&lt;&gt;"",2,0)+IF(G120&lt;&gt;"",1,0)+IF(L120&lt;&gt;"",2,0)+IF(R120&lt;&gt;"",1,0)</x:f>
        <x:v>10</x:v>
      </x:c>
      <x:c r="W120" s="45" t="n">
        <x:f>VLOOKUP(E120,'Rules and Assumptions'!$D$5:$F$15,3,FALSE)</x:f>
        <x:v>0</x:v>
      </x:c>
      <x:c r="X120" s="45" t="n">
        <x:f>SUM(S120:W120)</x:f>
        <x:v>61</x:v>
      </x:c>
      <x:c r="Y120" s="45" t="n">
        <x:f>RANK.EQ(X120,$X$5:$X$164,0)+COUNTIF($X$5:X120,X120)-1</x:f>
        <x:v>116</x:v>
      </x:c>
      <x:c r="Z120" s="43" t="str">
        <x:f>IF(Y120&lt;='Rules and Assumptions'!$M$5,"High",IF(Y120&lt;='Rules and Assumptions'!$M$6,"Medium","Low"))</x:f>
        <x:v>Low</x:v>
      </x:c>
      <x:c r="AA120" s="43" t="str">
        <x:f>LOWER(TRIM(B120))</x:f>
        <x:v>ghgrp-1001299</x:v>
      </x:c>
      <x:c r="AB120" s="43" t="str">
        <x:f>IF(COUNTIF($AA$5:$AA$164,AA120)&gt;1,"Review","Unique")</x:f>
        <x:v>Unique</x:v>
      </x:c>
      <x:c r="AC120" s="47" t="str">
        <x:v>Generation facility; low end-customer fit, retained for market context and qualification practice.</x:v>
      </x:c>
      <x:c r="AD120" s="46" t="n">
        <x:v>45520</x:v>
      </x:c>
    </x:row>
    <x:row r="121">
      <x:c r="A121" s="41" t="str">
        <x:v>NE-117</x:v>
      </x:c>
      <x:c r="B121" s="41" t="str">
        <x:v>GHGRP-1000905</x:v>
      </x:c>
      <x:c r="C121" s="47" t="str">
        <x:v>Manchester Street - Providence, RI</x:v>
      </x:c>
      <x:c r="D121" s="47" t="str">
        <x:v>EDGEWATER GENERATION HOLDINGS LLC</x:v>
      </x:c>
      <x:c r="E121" s="47" t="str">
        <x:v>Power Plants</x:v>
      </x:c>
      <x:c r="F121" s="41" t="str">
        <x:v>221112</x:v>
      </x:c>
      <x:c r="G121" s="41" t="str">
        <x:v>Providence</x:v>
      </x:c>
      <x:c r="H121" s="41" t="str">
        <x:v>RI</x:v>
      </x:c>
      <x:c r="I121" s="41" t="str">
        <x:v>02903</x:v>
      </x:c>
      <x:c r="J121" s="42" t="n">
        <x:v>815757.847</x:v>
      </x:c>
      <x:c r="K121" s="43" t="str">
        <x:f>VLOOKUP(J121,'Rules and Assumptions'!$H$5:$J$9,3,TRUE)</x:f>
        <x:v>Enterprise Reporting Load</x:v>
      </x:c>
      <x:c r="L121" s="47" t="str">
        <x:v>Plant Manager</x:v>
      </x:c>
      <x:c r="M121" s="47" t="str">
        <x:v>Director of Operations</x:v>
      </x:c>
      <x:c r="N121" s="47" t="str">
        <x:v>Role identified; person not yet verified</x:v>
      </x:c>
      <x:c r="O121" s="47" t="str">
        <x:v>Market Intelligence - Generation</x:v>
      </x:c>
      <x:c r="P121" s="47" t="str">
        <x:v>Sales Rep B - Connecticut/Rhode Island</x:v>
      </x:c>
      <x:c r="Q121" s="47" t="str">
        <x:v>https://www.epa.gov/ghgreporting/data-sets</x:v>
      </x:c>
      <x:c r="R121" s="44" t="n">
        <x:v>1000905</x:v>
      </x:c>
      <x:c r="S121" s="45" t="n">
        <x:f>VLOOKUP(H121,'Rules and Assumptions'!$A$5:$B$10,2,FALSE)</x:f>
        <x:v>16</x:v>
      </x:c>
      <x:c r="T121" s="45" t="n">
        <x:f>VLOOKUP(E121,'Rules and Assumptions'!$D$5:$F$15,2,FALSE)</x:f>
        <x:v>5</x:v>
      </x:c>
      <x:c r="U121" s="45" t="n">
        <x:f>VLOOKUP(J121,'Rules and Assumptions'!$H$5:$J$9,2,TRUE)</x:f>
        <x:v>30</x:v>
      </x:c>
      <x:c r="V121" s="45" t="n">
        <x:f>IF(D121&lt;&gt;"",4,0)+IF(F121&lt;&gt;"",2,0)+IF(G121&lt;&gt;"",1,0)+IF(L121&lt;&gt;"",2,0)+IF(R121&lt;&gt;"",1,0)</x:f>
        <x:v>10</x:v>
      </x:c>
      <x:c r="W121" s="45" t="n">
        <x:f>VLOOKUP(E121,'Rules and Assumptions'!$D$5:$F$15,3,FALSE)</x:f>
        <x:v>0</x:v>
      </x:c>
      <x:c r="X121" s="45" t="n">
        <x:f>SUM(S121:W121)</x:f>
        <x:v>61</x:v>
      </x:c>
      <x:c r="Y121" s="45" t="n">
        <x:f>RANK.EQ(X121,$X$5:$X$164,0)+COUNTIF($X$5:X121,X121)-1</x:f>
        <x:v>117</x:v>
      </x:c>
      <x:c r="Z121" s="43" t="str">
        <x:f>IF(Y121&lt;='Rules and Assumptions'!$M$5,"High",IF(Y121&lt;='Rules and Assumptions'!$M$6,"Medium","Low"))</x:f>
        <x:v>Low</x:v>
      </x:c>
      <x:c r="AA121" s="43" t="str">
        <x:f>LOWER(TRIM(B121))</x:f>
        <x:v>ghgrp-1000905</x:v>
      </x:c>
      <x:c r="AB121" s="43" t="str">
        <x:f>IF(COUNTIF($AA$5:$AA$164,AA121)&gt;1,"Review","Unique")</x:f>
        <x:v>Unique</x:v>
      </x:c>
      <x:c r="AC121" s="47" t="str">
        <x:v>Generation facility; low end-customer fit, retained for market context and qualification practice.</x:v>
      </x:c>
      <x:c r="AD121" s="46" t="n">
        <x:v>45520</x:v>
      </x:c>
    </x:row>
    <x:row r="122">
      <x:c r="A122" s="41" t="str">
        <x:v>NE-118</x:v>
      </x:c>
      <x:c r="B122" s="41" t="str">
        <x:v>GHGRP-1001301</x:v>
      </x:c>
      <x:c r="C122" s="47" t="str">
        <x:v>Tiverton Power - Tiverton, RI</x:v>
      </x:c>
      <x:c r="D122" s="47" t="str">
        <x:v>CARLYLE GROUP MANAGEMENT LLC</x:v>
      </x:c>
      <x:c r="E122" s="47" t="str">
        <x:v>Power Plants</x:v>
      </x:c>
      <x:c r="F122" s="41" t="str">
        <x:v>221112</x:v>
      </x:c>
      <x:c r="G122" s="41" t="str">
        <x:v>Tiverton</x:v>
      </x:c>
      <x:c r="H122" s="41" t="str">
        <x:v>RI</x:v>
      </x:c>
      <x:c r="I122" s="41" t="str">
        <x:v>02878</x:v>
      </x:c>
      <x:c r="J122" s="42" t="n">
        <x:v>630573.564</x:v>
      </x:c>
      <x:c r="K122" s="43" t="str">
        <x:f>VLOOKUP(J122,'Rules and Assumptions'!$H$5:$J$9,3,TRUE)</x:f>
        <x:v>Enterprise Reporting Load</x:v>
      </x:c>
      <x:c r="L122" s="47" t="str">
        <x:v>Plant Manager</x:v>
      </x:c>
      <x:c r="M122" s="47" t="str">
        <x:v>Director of Operations</x:v>
      </x:c>
      <x:c r="N122" s="47" t="str">
        <x:v>Role identified; person not yet verified</x:v>
      </x:c>
      <x:c r="O122" s="47" t="str">
        <x:v>Market Intelligence - Generation</x:v>
      </x:c>
      <x:c r="P122" s="47" t="str">
        <x:v>Sales Rep B - Connecticut/Rhode Island</x:v>
      </x:c>
      <x:c r="Q122" s="47" t="str">
        <x:v>https://www.epa.gov/ghgreporting/data-sets</x:v>
      </x:c>
      <x:c r="R122" s="44" t="n">
        <x:v>1001301</x:v>
      </x:c>
      <x:c r="S122" s="45" t="n">
        <x:f>VLOOKUP(H122,'Rules and Assumptions'!$A$5:$B$10,2,FALSE)</x:f>
        <x:v>16</x:v>
      </x:c>
      <x:c r="T122" s="45" t="n">
        <x:f>VLOOKUP(E122,'Rules and Assumptions'!$D$5:$F$15,2,FALSE)</x:f>
        <x:v>5</x:v>
      </x:c>
      <x:c r="U122" s="45" t="n">
        <x:f>VLOOKUP(J122,'Rules and Assumptions'!$H$5:$J$9,2,TRUE)</x:f>
        <x:v>30</x:v>
      </x:c>
      <x:c r="V122" s="45" t="n">
        <x:f>IF(D122&lt;&gt;"",4,0)+IF(F122&lt;&gt;"",2,0)+IF(G122&lt;&gt;"",1,0)+IF(L122&lt;&gt;"",2,0)+IF(R122&lt;&gt;"",1,0)</x:f>
        <x:v>10</x:v>
      </x:c>
      <x:c r="W122" s="45" t="n">
        <x:f>VLOOKUP(E122,'Rules and Assumptions'!$D$5:$F$15,3,FALSE)</x:f>
        <x:v>0</x:v>
      </x:c>
      <x:c r="X122" s="45" t="n">
        <x:f>SUM(S122:W122)</x:f>
        <x:v>61</x:v>
      </x:c>
      <x:c r="Y122" s="45" t="n">
        <x:f>RANK.EQ(X122,$X$5:$X$164,0)+COUNTIF($X$5:X122,X122)-1</x:f>
        <x:v>118</x:v>
      </x:c>
      <x:c r="Z122" s="43" t="str">
        <x:f>IF(Y122&lt;='Rules and Assumptions'!$M$5,"High",IF(Y122&lt;='Rules and Assumptions'!$M$6,"Medium","Low"))</x:f>
        <x:v>Low</x:v>
      </x:c>
      <x:c r="AA122" s="43" t="str">
        <x:f>LOWER(TRIM(B122))</x:f>
        <x:v>ghgrp-1001301</x:v>
      </x:c>
      <x:c r="AB122" s="43" t="str">
        <x:f>IF(COUNTIF($AA$5:$AA$164,AA122)&gt;1,"Review","Unique")</x:f>
        <x:v>Unique</x:v>
      </x:c>
      <x:c r="AC122" s="47" t="str">
        <x:v>Generation facility; low end-customer fit, retained for market context and qualification practice.</x:v>
      </x:c>
      <x:c r="AD122" s="46" t="n">
        <x:v>45520</x:v>
      </x:c>
    </x:row>
    <x:row r="123">
      <x:c r="A123" s="41" t="str">
        <x:v>NE-119</x:v>
      </x:c>
      <x:c r="B123" s="41" t="str">
        <x:v>GHGRP-1001258</x:v>
      </x:c>
      <x:c r="C123" s="47" t="str">
        <x:v>Ocean State Power - Harrisville, RI</x:v>
      </x:c>
      <x:c r="D123" s="47" t="str">
        <x:v>LS Power Development, LLC</x:v>
      </x:c>
      <x:c r="E123" s="47" t="str">
        <x:v>Power Plants</x:v>
      </x:c>
      <x:c r="F123" s="41" t="str">
        <x:v>221112</x:v>
      </x:c>
      <x:c r="G123" s="41" t="str">
        <x:v>Harrisville</x:v>
      </x:c>
      <x:c r="H123" s="41" t="str">
        <x:v>RI</x:v>
      </x:c>
      <x:c r="I123" s="41" t="str">
        <x:v>02830</x:v>
      </x:c>
      <x:c r="J123" s="42" t="n">
        <x:v>583169.013</x:v>
      </x:c>
      <x:c r="K123" s="43" t="str">
        <x:f>VLOOKUP(J123,'Rules and Assumptions'!$H$5:$J$9,3,TRUE)</x:f>
        <x:v>Enterprise Reporting Load</x:v>
      </x:c>
      <x:c r="L123" s="47" t="str">
        <x:v>Plant Manager</x:v>
      </x:c>
      <x:c r="M123" s="47" t="str">
        <x:v>Director of Operations</x:v>
      </x:c>
      <x:c r="N123" s="47" t="str">
        <x:v>Role identified; person not yet verified</x:v>
      </x:c>
      <x:c r="O123" s="47" t="str">
        <x:v>Market Intelligence - Generation</x:v>
      </x:c>
      <x:c r="P123" s="47" t="str">
        <x:v>Sales Rep B - Connecticut/Rhode Island</x:v>
      </x:c>
      <x:c r="Q123" s="47" t="str">
        <x:v>https://www.epa.gov/ghgreporting/data-sets</x:v>
      </x:c>
      <x:c r="R123" s="44" t="n">
        <x:v>1001258</x:v>
      </x:c>
      <x:c r="S123" s="45" t="n">
        <x:f>VLOOKUP(H123,'Rules and Assumptions'!$A$5:$B$10,2,FALSE)</x:f>
        <x:v>16</x:v>
      </x:c>
      <x:c r="T123" s="45" t="n">
        <x:f>VLOOKUP(E123,'Rules and Assumptions'!$D$5:$F$15,2,FALSE)</x:f>
        <x:v>5</x:v>
      </x:c>
      <x:c r="U123" s="45" t="n">
        <x:f>VLOOKUP(J123,'Rules and Assumptions'!$H$5:$J$9,2,TRUE)</x:f>
        <x:v>30</x:v>
      </x:c>
      <x:c r="V123" s="45" t="n">
        <x:f>IF(D123&lt;&gt;"",4,0)+IF(F123&lt;&gt;"",2,0)+IF(G123&lt;&gt;"",1,0)+IF(L123&lt;&gt;"",2,0)+IF(R123&lt;&gt;"",1,0)</x:f>
        <x:v>10</x:v>
      </x:c>
      <x:c r="W123" s="45" t="n">
        <x:f>VLOOKUP(E123,'Rules and Assumptions'!$D$5:$F$15,3,FALSE)</x:f>
        <x:v>0</x:v>
      </x:c>
      <x:c r="X123" s="45" t="n">
        <x:f>SUM(S123:W123)</x:f>
        <x:v>61</x:v>
      </x:c>
      <x:c r="Y123" s="45" t="n">
        <x:f>RANK.EQ(X123,$X$5:$X$164,0)+COUNTIF($X$5:X123,X123)-1</x:f>
        <x:v>119</x:v>
      </x:c>
      <x:c r="Z123" s="43" t="str">
        <x:f>IF(Y123&lt;='Rules and Assumptions'!$M$5,"High",IF(Y123&lt;='Rules and Assumptions'!$M$6,"Medium","Low"))</x:f>
        <x:v>Low</x:v>
      </x:c>
      <x:c r="AA123" s="43" t="str">
        <x:f>LOWER(TRIM(B123))</x:f>
        <x:v>ghgrp-1001258</x:v>
      </x:c>
      <x:c r="AB123" s="43" t="str">
        <x:f>IF(COUNTIF($AA$5:$AA$164,AA123)&gt;1,"Review","Unique")</x:f>
        <x:v>Unique</x:v>
      </x:c>
      <x:c r="AC123" s="47" t="str">
        <x:v>Generation facility; low end-customer fit, retained for market context and qualification practice.</x:v>
      </x:c>
      <x:c r="AD123" s="46" t="n">
        <x:v>45520</x:v>
      </x:c>
    </x:row>
    <x:row r="124">
      <x:c r="A124" s="41" t="str">
        <x:v>NE-120</x:v>
      </x:c>
      <x:c r="B124" s="41" t="str">
        <x:v>GHGRP-1007646</x:v>
      </x:c>
      <x:c r="C124" s="47" t="str">
        <x:v>CROSSROADS LANDFILL - Norridgewock, ME</x:v>
      </x:c>
      <x:c r="D124" s="47" t="str">
        <x:v>WASTE MANAGEMENT INC</x:v>
      </x:c>
      <x:c r="E124" s="47" t="str">
        <x:v>Waste</x:v>
      </x:c>
      <x:c r="F124" s="41" t="str">
        <x:v>562212</x:v>
      </x:c>
      <x:c r="G124" s="41" t="str">
        <x:v>Norridgewock</x:v>
      </x:c>
      <x:c r="H124" s="41" t="str">
        <x:v>ME</x:v>
      </x:c>
      <x:c r="I124" s="41" t="str">
        <x:v>04957</x:v>
      </x:c>
      <x:c r="J124" s="42" t="n">
        <x:v>34847.568</x:v>
      </x:c>
      <x:c r="K124" s="43" t="str">
        <x:f>VLOOKUP(J124,'Rules and Assumptions'!$H$5:$J$9,3,TRUE)</x:f>
        <x:v>Small Reporting Load</x:v>
      </x:c>
      <x:c r="L124" s="47" t="str">
        <x:v>Director of Operations</x:v>
      </x:c>
      <x:c r="M124" s="47" t="str">
        <x:v>Facilities Manager</x:v>
      </x:c>
      <x:c r="N124" s="47" t="str">
        <x:v>Role identified; person not yet verified</x:v>
      </x:c>
      <x:c r="O124" s="47" t="str">
        <x:v>Waste and Environmental</x:v>
      </x:c>
      <x:c r="P124" s="47" t="str">
        <x:v>Sales Rep C - Northern New England</x:v>
      </x:c>
      <x:c r="Q124" s="47" t="str">
        <x:v>https://www.epa.gov/ghgreporting/data-sets</x:v>
      </x:c>
      <x:c r="R124" s="44" t="n">
        <x:v>1007646</x:v>
      </x:c>
      <x:c r="S124" s="45" t="n">
        <x:f>VLOOKUP(H124,'Rules and Assumptions'!$A$5:$B$10,2,FALSE)</x:f>
        <x:v>12</x:v>
      </x:c>
      <x:c r="T124" s="45" t="n">
        <x:f>VLOOKUP(E124,'Rules and Assumptions'!$D$5:$F$15,2,FALSE)</x:f>
        <x:v>20</x:v>
      </x:c>
      <x:c r="U124" s="45" t="n">
        <x:f>VLOOKUP(J124,'Rules and Assumptions'!$H$5:$J$9,2,TRUE)</x:f>
        <x:v>10</x:v>
      </x:c>
      <x:c r="V124" s="45" t="n">
        <x:f>IF(D124&lt;&gt;"",4,0)+IF(F124&lt;&gt;"",2,0)+IF(G124&lt;&gt;"",1,0)+IF(L124&lt;&gt;"",2,0)+IF(R124&lt;&gt;"",1,0)</x:f>
        <x:v>10</x:v>
      </x:c>
      <x:c r="W124" s="45" t="n">
        <x:f>VLOOKUP(E124,'Rules and Assumptions'!$D$5:$F$15,3,FALSE)</x:f>
        <x:v>9</x:v>
      </x:c>
      <x:c r="X124" s="45" t="n">
        <x:f>SUM(S124:W124)</x:f>
        <x:v>61</x:v>
      </x:c>
      <x:c r="Y124" s="45" t="n">
        <x:f>RANK.EQ(X124,$X$5:$X$164,0)+COUNTIF($X$5:X124,X124)-1</x:f>
        <x:v>120</x:v>
      </x:c>
      <x:c r="Z124" s="43" t="str">
        <x:f>IF(Y124&lt;='Rules and Assumptions'!$M$5,"High",IF(Y124&lt;='Rules and Assumptions'!$M$6,"Medium","Low"))</x:f>
        <x:v>Low</x:v>
      </x:c>
      <x:c r="AA124" s="43" t="str">
        <x:f>LOWER(TRIM(B124))</x:f>
        <x:v>ghgrp-1007646</x:v>
      </x:c>
      <x:c r="AB124" s="43" t="str">
        <x:f>IF(COUNTIF($AA$5:$AA$164,AA124)&gt;1,"Review","Unique")</x:f>
        <x:v>Unique</x:v>
      </x:c>
      <x:c r="AC124" s="47" t="str">
        <x:v>Waste-sector facility; qualify electricity, natural-gas, and multi-site purchasing needs.</x:v>
      </x:c>
      <x:c r="AD124" s="46" t="n">
        <x:v>45520</x:v>
      </x:c>
    </x:row>
    <x:row r="125">
      <x:c r="A125" s="41" t="str">
        <x:v>NE-121</x:v>
      </x:c>
      <x:c r="B125" s="41" t="str">
        <x:v>GHGRP-1000047</x:v>
      </x:c>
      <x:c r="C125" s="47" t="str">
        <x:v>PENOBSCOT ENERGY RECOVERY CO. - Orrington, ME</x:v>
      </x:c>
      <x:c r="D125" s="47" t="str">
        <x:v>USA ENERGY GROUP LLC</x:v>
      </x:c>
      <x:c r="E125" s="47" t="str">
        <x:v>Waste</x:v>
      </x:c>
      <x:c r="F125" s="41" t="str">
        <x:v>562213</x:v>
      </x:c>
      <x:c r="G125" s="41" t="str">
        <x:v>Orrington</x:v>
      </x:c>
      <x:c r="H125" s="41" t="str">
        <x:v>ME</x:v>
      </x:c>
      <x:c r="I125" s="41" t="str">
        <x:v>04474</x:v>
      </x:c>
      <x:c r="J125" s="42" t="n">
        <x:v>7392.966</x:v>
      </x:c>
      <x:c r="K125" s="43" t="str">
        <x:f>VLOOKUP(J125,'Rules and Assumptions'!$H$5:$J$9,3,TRUE)</x:f>
        <x:v>Small Reporting Load</x:v>
      </x:c>
      <x:c r="L125" s="47" t="str">
        <x:v>Director of Operations</x:v>
      </x:c>
      <x:c r="M125" s="47" t="str">
        <x:v>Facilities Manager</x:v>
      </x:c>
      <x:c r="N125" s="47" t="str">
        <x:v>Role identified; person not yet verified</x:v>
      </x:c>
      <x:c r="O125" s="47" t="str">
        <x:v>Waste and Environmental</x:v>
      </x:c>
      <x:c r="P125" s="47" t="str">
        <x:v>Sales Rep C - Northern New England</x:v>
      </x:c>
      <x:c r="Q125" s="47" t="str">
        <x:v>https://www.epa.gov/ghgreporting/data-sets</x:v>
      </x:c>
      <x:c r="R125" s="44" t="n">
        <x:v>1000047</x:v>
      </x:c>
      <x:c r="S125" s="45" t="n">
        <x:f>VLOOKUP(H125,'Rules and Assumptions'!$A$5:$B$10,2,FALSE)</x:f>
        <x:v>12</x:v>
      </x:c>
      <x:c r="T125" s="45" t="n">
        <x:f>VLOOKUP(E125,'Rules and Assumptions'!$D$5:$F$15,2,FALSE)</x:f>
        <x:v>20</x:v>
      </x:c>
      <x:c r="U125" s="45" t="n">
        <x:f>VLOOKUP(J125,'Rules and Assumptions'!$H$5:$J$9,2,TRUE)</x:f>
        <x:v>10</x:v>
      </x:c>
      <x:c r="V125" s="45" t="n">
        <x:f>IF(D125&lt;&gt;"",4,0)+IF(F125&lt;&gt;"",2,0)+IF(G125&lt;&gt;"",1,0)+IF(L125&lt;&gt;"",2,0)+IF(R125&lt;&gt;"",1,0)</x:f>
        <x:v>10</x:v>
      </x:c>
      <x:c r="W125" s="45" t="n">
        <x:f>VLOOKUP(E125,'Rules and Assumptions'!$D$5:$F$15,3,FALSE)</x:f>
        <x:v>9</x:v>
      </x:c>
      <x:c r="X125" s="45" t="n">
        <x:f>SUM(S125:W125)</x:f>
        <x:v>61</x:v>
      </x:c>
      <x:c r="Y125" s="45" t="n">
        <x:f>RANK.EQ(X125,$X$5:$X$164,0)+COUNTIF($X$5:X125,X125)-1</x:f>
        <x:v>121</x:v>
      </x:c>
      <x:c r="Z125" s="43" t="str">
        <x:f>IF(Y125&lt;='Rules and Assumptions'!$M$5,"High",IF(Y125&lt;='Rules and Assumptions'!$M$6,"Medium","Low"))</x:f>
        <x:v>Low</x:v>
      </x:c>
      <x:c r="AA125" s="43" t="str">
        <x:f>LOWER(TRIM(B125))</x:f>
        <x:v>ghgrp-1000047</x:v>
      </x:c>
      <x:c r="AB125" s="43" t="str">
        <x:f>IF(COUNTIF($AA$5:$AA$164,AA125)&gt;1,"Review","Unique")</x:f>
        <x:v>Unique</x:v>
      </x:c>
      <x:c r="AC125" s="47" t="str">
        <x:v>Waste-sector facility; qualify electricity, natural-gas, and multi-site purchasing needs.</x:v>
      </x:c>
      <x:c r="AD125" s="46" t="n">
        <x:v>45520</x:v>
      </x:c>
    </x:row>
    <x:row r="126">
      <x:c r="A126" s="41" t="str">
        <x:v>NE-122</x:v>
      </x:c>
      <x:c r="B126" s="41" t="str">
        <x:v>GHGRP-1007435</x:v>
      </x:c>
      <x:c r="C126" s="47" t="str">
        <x:v>MASSPOWER - Indian Orchard, MA</x:v>
      </x:c>
      <x:c r="D126" s="47" t="str">
        <x:v>Vistra Corp</x:v>
      </x:c>
      <x:c r="E126" s="47" t="str">
        <x:v>Power Plants</x:v>
      </x:c>
      <x:c r="F126" s="41" t="str">
        <x:v>221112</x:v>
      </x:c>
      <x:c r="G126" s="41" t="str">
        <x:v>Indian Orchard</x:v>
      </x:c>
      <x:c r="H126" s="41" t="str">
        <x:v>MA</x:v>
      </x:c>
      <x:c r="I126" s="41" t="str">
        <x:v>01151</x:v>
      </x:c>
      <x:c r="J126" s="42" t="n">
        <x:v>283431.9</x:v>
      </x:c>
      <x:c r="K126" s="43" t="str">
        <x:f>VLOOKUP(J126,'Rules and Assumptions'!$H$5:$J$9,3,TRUE)</x:f>
        <x:v>Very Large Reporting Load</x:v>
      </x:c>
      <x:c r="L126" s="47" t="str">
        <x:v>Plant Manager</x:v>
      </x:c>
      <x:c r="M126" s="47" t="str">
        <x:v>Director of Operations</x:v>
      </x:c>
      <x:c r="N126" s="47" t="str">
        <x:v>Role identified; person not yet verified</x:v>
      </x:c>
      <x:c r="O126" s="47" t="str">
        <x:v>Market Intelligence - Generation</x:v>
      </x:c>
      <x:c r="P126" s="47" t="str">
        <x:v>Sales Rep A - Massachusetts</x:v>
      </x:c>
      <x:c r="Q126" s="47" t="str">
        <x:v>https://www.epa.gov/ghgreporting/data-sets</x:v>
      </x:c>
      <x:c r="R126" s="44" t="n">
        <x:v>1007435</x:v>
      </x:c>
      <x:c r="S126" s="45" t="n">
        <x:f>VLOOKUP(H126,'Rules and Assumptions'!$A$5:$B$10,2,FALSE)</x:f>
        <x:v>20</x:v>
      </x:c>
      <x:c r="T126" s="45" t="n">
        <x:f>VLOOKUP(E126,'Rules and Assumptions'!$D$5:$F$15,2,FALSE)</x:f>
        <x:v>5</x:v>
      </x:c>
      <x:c r="U126" s="45" t="n">
        <x:f>VLOOKUP(J126,'Rules and Assumptions'!$H$5:$J$9,2,TRUE)</x:f>
        <x:v>25</x:v>
      </x:c>
      <x:c r="V126" s="45" t="n">
        <x:f>IF(D126&lt;&gt;"",4,0)+IF(F126&lt;&gt;"",2,0)+IF(G126&lt;&gt;"",1,0)+IF(L126&lt;&gt;"",2,0)+IF(R126&lt;&gt;"",1,0)</x:f>
        <x:v>10</x:v>
      </x:c>
      <x:c r="W126" s="45" t="n">
        <x:f>VLOOKUP(E126,'Rules and Assumptions'!$D$5:$F$15,3,FALSE)</x:f>
        <x:v>0</x:v>
      </x:c>
      <x:c r="X126" s="45" t="n">
        <x:f>SUM(S126:W126)</x:f>
        <x:v>60</x:v>
      </x:c>
      <x:c r="Y126" s="45" t="n">
        <x:f>RANK.EQ(X126,$X$5:$X$164,0)+COUNTIF($X$5:X126,X126)-1</x:f>
        <x:v>122</x:v>
      </x:c>
      <x:c r="Z126" s="43" t="str">
        <x:f>IF(Y126&lt;='Rules and Assumptions'!$M$5,"High",IF(Y126&lt;='Rules and Assumptions'!$M$6,"Medium","Low"))</x:f>
        <x:v>Low</x:v>
      </x:c>
      <x:c r="AA126" s="43" t="str">
        <x:f>LOWER(TRIM(B126))</x:f>
        <x:v>ghgrp-1007435</x:v>
      </x:c>
      <x:c r="AB126" s="43" t="str">
        <x:f>IF(COUNTIF($AA$5:$AA$164,AA126)&gt;1,"Review","Unique")</x:f>
        <x:v>Unique</x:v>
      </x:c>
      <x:c r="AC126" s="47" t="str">
        <x:v>Generation facility; low end-customer fit, retained for market context and qualification practice.</x:v>
      </x:c>
      <x:c r="AD126" s="46" t="n">
        <x:v>45520</x:v>
      </x:c>
    </x:row>
    <x:row r="127">
      <x:c r="A127" s="41" t="str">
        <x:v>NE-123</x:v>
      </x:c>
      <x:c r="B127" s="41" t="str">
        <x:v>GHGRP-1012869</x:v>
      </x:c>
      <x:c r="C127" s="47" t="str">
        <x:v>Salem Harbor Station NGCC - Salem, MA</x:v>
      </x:c>
      <x:c r="D127" s="47" t="str">
        <x:v>Salem Harbor Power Development LP</x:v>
      </x:c>
      <x:c r="E127" s="47" t="str">
        <x:v>Power Plants</x:v>
      </x:c>
      <x:c r="F127" s="41" t="str">
        <x:v>221112</x:v>
      </x:c>
      <x:c r="G127" s="41" t="str">
        <x:v>Salem</x:v>
      </x:c>
      <x:c r="H127" s="41" t="str">
        <x:v>MA</x:v>
      </x:c>
      <x:c r="I127" s="41" t="str">
        <x:v>01970</x:v>
      </x:c>
      <x:c r="J127" s="42" t="n">
        <x:v>278894.216</x:v>
      </x:c>
      <x:c r="K127" s="43" t="str">
        <x:f>VLOOKUP(J127,'Rules and Assumptions'!$H$5:$J$9,3,TRUE)</x:f>
        <x:v>Very Large Reporting Load</x:v>
      </x:c>
      <x:c r="L127" s="47" t="str">
        <x:v>Plant Manager</x:v>
      </x:c>
      <x:c r="M127" s="47" t="str">
        <x:v>Director of Operations</x:v>
      </x:c>
      <x:c r="N127" s="47" t="str">
        <x:v>Role identified; person not yet verified</x:v>
      </x:c>
      <x:c r="O127" s="47" t="str">
        <x:v>Market Intelligence - Generation</x:v>
      </x:c>
      <x:c r="P127" s="47" t="str">
        <x:v>Sales Rep A - Massachusetts</x:v>
      </x:c>
      <x:c r="Q127" s="47" t="str">
        <x:v>https://www.epa.gov/ghgreporting/data-sets</x:v>
      </x:c>
      <x:c r="R127" s="44" t="n">
        <x:v>1012869</x:v>
      </x:c>
      <x:c r="S127" s="45" t="n">
        <x:f>VLOOKUP(H127,'Rules and Assumptions'!$A$5:$B$10,2,FALSE)</x:f>
        <x:v>20</x:v>
      </x:c>
      <x:c r="T127" s="45" t="n">
        <x:f>VLOOKUP(E127,'Rules and Assumptions'!$D$5:$F$15,2,FALSE)</x:f>
        <x:v>5</x:v>
      </x:c>
      <x:c r="U127" s="45" t="n">
        <x:f>VLOOKUP(J127,'Rules and Assumptions'!$H$5:$J$9,2,TRUE)</x:f>
        <x:v>25</x:v>
      </x:c>
      <x:c r="V127" s="45" t="n">
        <x:f>IF(D127&lt;&gt;"",4,0)+IF(F127&lt;&gt;"",2,0)+IF(G127&lt;&gt;"",1,0)+IF(L127&lt;&gt;"",2,0)+IF(R127&lt;&gt;"",1,0)</x:f>
        <x:v>10</x:v>
      </x:c>
      <x:c r="W127" s="45" t="n">
        <x:f>VLOOKUP(E127,'Rules and Assumptions'!$D$5:$F$15,3,FALSE)</x:f>
        <x:v>0</x:v>
      </x:c>
      <x:c r="X127" s="45" t="n">
        <x:f>SUM(S127:W127)</x:f>
        <x:v>60</x:v>
      </x:c>
      <x:c r="Y127" s="45" t="n">
        <x:f>RANK.EQ(X127,$X$5:$X$164,0)+COUNTIF($X$5:X127,X127)-1</x:f>
        <x:v>123</x:v>
      </x:c>
      <x:c r="Z127" s="43" t="str">
        <x:f>IF(Y127&lt;='Rules and Assumptions'!$M$5,"High",IF(Y127&lt;='Rules and Assumptions'!$M$6,"Medium","Low"))</x:f>
        <x:v>Low</x:v>
      </x:c>
      <x:c r="AA127" s="43" t="str">
        <x:f>LOWER(TRIM(B127))</x:f>
        <x:v>ghgrp-1012869</x:v>
      </x:c>
      <x:c r="AB127" s="43" t="str">
        <x:f>IF(COUNTIF($AA$5:$AA$164,AA127)&gt;1,"Review","Unique")</x:f>
        <x:v>Unique</x:v>
      </x:c>
      <x:c r="AC127" s="47" t="str">
        <x:v>Generation facility; low end-customer fit, retained for market context and qualification practice.</x:v>
      </x:c>
      <x:c r="AD127" s="46" t="n">
        <x:v>45520</x:v>
      </x:c>
    </x:row>
    <x:row r="128">
      <x:c r="A128" s="41" t="str">
        <x:v>NE-124</x:v>
      </x:c>
      <x:c r="B128" s="41" t="str">
        <x:v>GHGRP-1000580</x:v>
      </x:c>
      <x:c r="C128" s="47" t="str">
        <x:v>MEDICAL AREA TOTAL ENERGY PLANT - Boston, MA</x:v>
      </x:c>
      <x:c r="D128" s="47" t="str">
        <x:v>LONGWOOD ENERGY PARTNERS LLC</x:v>
      </x:c>
      <x:c r="E128" s="47" t="str">
        <x:v>Power Plants</x:v>
      </x:c>
      <x:c r="F128" s="41" t="str">
        <x:v>221330</x:v>
      </x:c>
      <x:c r="G128" s="41" t="str">
        <x:v>Boston</x:v>
      </x:c>
      <x:c r="H128" s="41" t="str">
        <x:v>MA</x:v>
      </x:c>
      <x:c r="I128" s="41" t="str">
        <x:v>02215</x:v>
      </x:c>
      <x:c r="J128" s="42" t="n">
        <x:v>263147.694</x:v>
      </x:c>
      <x:c r="K128" s="43" t="str">
        <x:f>VLOOKUP(J128,'Rules and Assumptions'!$H$5:$J$9,3,TRUE)</x:f>
        <x:v>Very Large Reporting Load</x:v>
      </x:c>
      <x:c r="L128" s="47" t="str">
        <x:v>Plant Manager</x:v>
      </x:c>
      <x:c r="M128" s="47" t="str">
        <x:v>Director of Operations</x:v>
      </x:c>
      <x:c r="N128" s="47" t="str">
        <x:v>Role identified; person not yet verified</x:v>
      </x:c>
      <x:c r="O128" s="47" t="str">
        <x:v>Market Intelligence - Generation</x:v>
      </x:c>
      <x:c r="P128" s="47" t="str">
        <x:v>Sales Rep A - Massachusetts</x:v>
      </x:c>
      <x:c r="Q128" s="47" t="str">
        <x:v>https://www.epa.gov/ghgreporting/data-sets</x:v>
      </x:c>
      <x:c r="R128" s="44" t="n">
        <x:v>1000580</x:v>
      </x:c>
      <x:c r="S128" s="45" t="n">
        <x:f>VLOOKUP(H128,'Rules and Assumptions'!$A$5:$B$10,2,FALSE)</x:f>
        <x:v>20</x:v>
      </x:c>
      <x:c r="T128" s="45" t="n">
        <x:f>VLOOKUP(E128,'Rules and Assumptions'!$D$5:$F$15,2,FALSE)</x:f>
        <x:v>5</x:v>
      </x:c>
      <x:c r="U128" s="45" t="n">
        <x:f>VLOOKUP(J128,'Rules and Assumptions'!$H$5:$J$9,2,TRUE)</x:f>
        <x:v>25</x:v>
      </x:c>
      <x:c r="V128" s="45" t="n">
        <x:f>IF(D128&lt;&gt;"",4,0)+IF(F128&lt;&gt;"",2,0)+IF(G128&lt;&gt;"",1,0)+IF(L128&lt;&gt;"",2,0)+IF(R128&lt;&gt;"",1,0)</x:f>
        <x:v>10</x:v>
      </x:c>
      <x:c r="W128" s="45" t="n">
        <x:f>VLOOKUP(E128,'Rules and Assumptions'!$D$5:$F$15,3,FALSE)</x:f>
        <x:v>0</x:v>
      </x:c>
      <x:c r="X128" s="45" t="n">
        <x:f>SUM(S128:W128)</x:f>
        <x:v>60</x:v>
      </x:c>
      <x:c r="Y128" s="45" t="n">
        <x:f>RANK.EQ(X128,$X$5:$X$164,0)+COUNTIF($X$5:X128,X128)-1</x:f>
        <x:v>124</x:v>
      </x:c>
      <x:c r="Z128" s="43" t="str">
        <x:f>IF(Y128&lt;='Rules and Assumptions'!$M$5,"High",IF(Y128&lt;='Rules and Assumptions'!$M$6,"Medium","Low"))</x:f>
        <x:v>Low</x:v>
      </x:c>
      <x:c r="AA128" s="43" t="str">
        <x:f>LOWER(TRIM(B128))</x:f>
        <x:v>ghgrp-1000580</x:v>
      </x:c>
      <x:c r="AB128" s="43" t="str">
        <x:f>IF(COUNTIF($AA$5:$AA$164,AA128)&gt;1,"Review","Unique")</x:f>
        <x:v>Unique</x:v>
      </x:c>
      <x:c r="AC128" s="47" t="str">
        <x:v>Generation facility; low end-customer fit, retained for market context and qualification practice.</x:v>
      </x:c>
      <x:c r="AD128" s="46" t="n">
        <x:v>45520</x:v>
      </x:c>
    </x:row>
    <x:row r="129">
      <x:c r="A129" s="41" t="str">
        <x:v>NE-125</x:v>
      </x:c>
      <x:c r="B129" s="41" t="str">
        <x:v>GHGRP-1001404</x:v>
      </x:c>
      <x:c r="C129" s="47" t="str">
        <x:v>Westbrook Energy Center - Westbrook, ME</x:v>
      </x:c>
      <x:c r="D129" s="47" t="str">
        <x:v>CPN MANAGEMENT LP</x:v>
      </x:c>
      <x:c r="E129" s="47" t="str">
        <x:v>Power Plants</x:v>
      </x:c>
      <x:c r="F129" s="41" t="str">
        <x:v>221112</x:v>
      </x:c>
      <x:c r="G129" s="41" t="str">
        <x:v>Westbrook</x:v>
      </x:c>
      <x:c r="H129" s="41" t="str">
        <x:v>ME</x:v>
      </x:c>
      <x:c r="I129" s="41" t="str">
        <x:v>04092</x:v>
      </x:c>
      <x:c r="J129" s="42" t="n">
        <x:v>871059.172</x:v>
      </x:c>
      <x:c r="K129" s="43" t="str">
        <x:f>VLOOKUP(J129,'Rules and Assumptions'!$H$5:$J$9,3,TRUE)</x:f>
        <x:v>Enterprise Reporting Load</x:v>
      </x:c>
      <x:c r="L129" s="47" t="str">
        <x:v>Plant Manager</x:v>
      </x:c>
      <x:c r="M129" s="47" t="str">
        <x:v>Director of Operations</x:v>
      </x:c>
      <x:c r="N129" s="47" t="str">
        <x:v>Role identified; person not yet verified</x:v>
      </x:c>
      <x:c r="O129" s="47" t="str">
        <x:v>Market Intelligence - Generation</x:v>
      </x:c>
      <x:c r="P129" s="47" t="str">
        <x:v>Sales Rep C - Northern New England</x:v>
      </x:c>
      <x:c r="Q129" s="47" t="str">
        <x:v>https://www.epa.gov/ghgreporting/data-sets</x:v>
      </x:c>
      <x:c r="R129" s="44" t="n">
        <x:v>1001404</x:v>
      </x:c>
      <x:c r="S129" s="45" t="n">
        <x:f>VLOOKUP(H129,'Rules and Assumptions'!$A$5:$B$10,2,FALSE)</x:f>
        <x:v>12</x:v>
      </x:c>
      <x:c r="T129" s="45" t="n">
        <x:f>VLOOKUP(E129,'Rules and Assumptions'!$D$5:$F$15,2,FALSE)</x:f>
        <x:v>5</x:v>
      </x:c>
      <x:c r="U129" s="45" t="n">
        <x:f>VLOOKUP(J129,'Rules and Assumptions'!$H$5:$J$9,2,TRUE)</x:f>
        <x:v>30</x:v>
      </x:c>
      <x:c r="V129" s="45" t="n">
        <x:f>IF(D129&lt;&gt;"",4,0)+IF(F129&lt;&gt;"",2,0)+IF(G129&lt;&gt;"",1,0)+IF(L129&lt;&gt;"",2,0)+IF(R129&lt;&gt;"",1,0)</x:f>
        <x:v>10</x:v>
      </x:c>
      <x:c r="W129" s="45" t="n">
        <x:f>VLOOKUP(E129,'Rules and Assumptions'!$D$5:$F$15,3,FALSE)</x:f>
        <x:v>0</x:v>
      </x:c>
      <x:c r="X129" s="45" t="n">
        <x:f>SUM(S129:W129)</x:f>
        <x:v>57</x:v>
      </x:c>
      <x:c r="Y129" s="45" t="n">
        <x:f>RANK.EQ(X129,$X$5:$X$164,0)+COUNTIF($X$5:X129,X129)-1</x:f>
        <x:v>125</x:v>
      </x:c>
      <x:c r="Z129" s="43" t="str">
        <x:f>IF(Y129&lt;='Rules and Assumptions'!$M$5,"High",IF(Y129&lt;='Rules and Assumptions'!$M$6,"Medium","Low"))</x:f>
        <x:v>Low</x:v>
      </x:c>
      <x:c r="AA129" s="43" t="str">
        <x:f>LOWER(TRIM(B129))</x:f>
        <x:v>ghgrp-1001404</x:v>
      </x:c>
      <x:c r="AB129" s="43" t="str">
        <x:f>IF(COUNTIF($AA$5:$AA$164,AA129)&gt;1,"Review","Unique")</x:f>
        <x:v>Unique</x:v>
      </x:c>
      <x:c r="AC129" s="47" t="str">
        <x:v>Generation facility; low end-customer fit, retained for market context and qualification practice.</x:v>
      </x:c>
      <x:c r="AD129" s="46" t="n">
        <x:v>45520</x:v>
      </x:c>
    </x:row>
    <x:row r="130">
      <x:c r="A130" s="41" t="str">
        <x:v>NE-126</x:v>
      </x:c>
      <x:c r="B130" s="41" t="str">
        <x:v>GHGRP-1001271</x:v>
      </x:c>
      <x:c r="C130" s="47" t="str">
        <x:v>Ocean State Power II - Harrisville, RI</x:v>
      </x:c>
      <x:c r="D130" s="47" t="str">
        <x:v>LS Power Development, LLC</x:v>
      </x:c>
      <x:c r="E130" s="47" t="str">
        <x:v>Power Plants</x:v>
      </x:c>
      <x:c r="F130" s="41" t="str">
        <x:v>221112</x:v>
      </x:c>
      <x:c r="G130" s="41" t="str">
        <x:v>Harrisville</x:v>
      </x:c>
      <x:c r="H130" s="41" t="str">
        <x:v>RI</x:v>
      </x:c>
      <x:c r="I130" s="41" t="str">
        <x:v>02830</x:v>
      </x:c>
      <x:c r="J130" s="42" t="n">
        <x:v>489533.55</x:v>
      </x:c>
      <x:c r="K130" s="43" t="str">
        <x:f>VLOOKUP(J130,'Rules and Assumptions'!$H$5:$J$9,3,TRUE)</x:f>
        <x:v>Very Large Reporting Load</x:v>
      </x:c>
      <x:c r="L130" s="47" t="str">
        <x:v>Plant Manager</x:v>
      </x:c>
      <x:c r="M130" s="47" t="str">
        <x:v>Director of Operations</x:v>
      </x:c>
      <x:c r="N130" s="47" t="str">
        <x:v>Role identified; person not yet verified</x:v>
      </x:c>
      <x:c r="O130" s="47" t="str">
        <x:v>Market Intelligence - Generation</x:v>
      </x:c>
      <x:c r="P130" s="47" t="str">
        <x:v>Sales Rep B - Connecticut/Rhode Island</x:v>
      </x:c>
      <x:c r="Q130" s="47" t="str">
        <x:v>https://www.epa.gov/ghgreporting/data-sets</x:v>
      </x:c>
      <x:c r="R130" s="44" t="n">
        <x:v>1001271</x:v>
      </x:c>
      <x:c r="S130" s="45" t="n">
        <x:f>VLOOKUP(H130,'Rules and Assumptions'!$A$5:$B$10,2,FALSE)</x:f>
        <x:v>16</x:v>
      </x:c>
      <x:c r="T130" s="45" t="n">
        <x:f>VLOOKUP(E130,'Rules and Assumptions'!$D$5:$F$15,2,FALSE)</x:f>
        <x:v>5</x:v>
      </x:c>
      <x:c r="U130" s="45" t="n">
        <x:f>VLOOKUP(J130,'Rules and Assumptions'!$H$5:$J$9,2,TRUE)</x:f>
        <x:v>25</x:v>
      </x:c>
      <x:c r="V130" s="45" t="n">
        <x:f>IF(D130&lt;&gt;"",4,0)+IF(F130&lt;&gt;"",2,0)+IF(G130&lt;&gt;"",1,0)+IF(L130&lt;&gt;"",2,0)+IF(R130&lt;&gt;"",1,0)</x:f>
        <x:v>10</x:v>
      </x:c>
      <x:c r="W130" s="45" t="n">
        <x:f>VLOOKUP(E130,'Rules and Assumptions'!$D$5:$F$15,3,FALSE)</x:f>
        <x:v>0</x:v>
      </x:c>
      <x:c r="X130" s="45" t="n">
        <x:f>SUM(S130:W130)</x:f>
        <x:v>56</x:v>
      </x:c>
      <x:c r="Y130" s="45" t="n">
        <x:f>RANK.EQ(X130,$X$5:$X$164,0)+COUNTIF($X$5:X130,X130)-1</x:f>
        <x:v>126</x:v>
      </x:c>
      <x:c r="Z130" s="43" t="str">
        <x:f>IF(Y130&lt;='Rules and Assumptions'!$M$5,"High",IF(Y130&lt;='Rules and Assumptions'!$M$6,"Medium","Low"))</x:f>
        <x:v>Low</x:v>
      </x:c>
      <x:c r="AA130" s="43" t="str">
        <x:f>LOWER(TRIM(B130))</x:f>
        <x:v>ghgrp-1001271</x:v>
      </x:c>
      <x:c r="AB130" s="43" t="str">
        <x:f>IF(COUNTIF($AA$5:$AA$164,AA130)&gt;1,"Review","Unique")</x:f>
        <x:v>Unique</x:v>
      </x:c>
      <x:c r="AC130" s="47" t="str">
        <x:v>Generation facility; low end-customer fit, retained for market context and qualification practice.</x:v>
      </x:c>
      <x:c r="AD130" s="46" t="n">
        <x:v>45520</x:v>
      </x:c>
    </x:row>
    <x:row r="131">
      <x:c r="A131" s="41" t="str">
        <x:v>NE-127</x:v>
      </x:c>
      <x:c r="B131" s="41" t="str">
        <x:v>GHGRP-1000170</x:v>
      </x:c>
      <x:c r="C131" s="47" t="str">
        <x:v>Newington Energy - Newington, NH</x:v>
      </x:c>
      <x:c r="D131" s="47" t="str">
        <x:v>ESSENTIAL POWER LLC</x:v>
      </x:c>
      <x:c r="E131" s="47" t="str">
        <x:v>Power Plants</x:v>
      </x:c>
      <x:c r="F131" s="41" t="str">
        <x:v>221112</x:v>
      </x:c>
      <x:c r="G131" s="41" t="str">
        <x:v>Newington</x:v>
      </x:c>
      <x:c r="H131" s="41" t="str">
        <x:v>NH</x:v>
      </x:c>
      <x:c r="I131" s="41" t="str">
        <x:v>03801</x:v>
      </x:c>
      <x:c r="J131" s="42" t="n">
        <x:v>342951.424</x:v>
      </x:c>
      <x:c r="K131" s="43" t="str">
        <x:f>VLOOKUP(J131,'Rules and Assumptions'!$H$5:$J$9,3,TRUE)</x:f>
        <x:v>Very Large Reporting Load</x:v>
      </x:c>
      <x:c r="L131" s="47" t="str">
        <x:v>Plant Manager</x:v>
      </x:c>
      <x:c r="M131" s="47" t="str">
        <x:v>Director of Operations</x:v>
      </x:c>
      <x:c r="N131" s="47" t="str">
        <x:v>Role identified; person not yet verified</x:v>
      </x:c>
      <x:c r="O131" s="47" t="str">
        <x:v>Market Intelligence - Generation</x:v>
      </x:c>
      <x:c r="P131" s="47" t="str">
        <x:v>Sales Rep C - Northern New England</x:v>
      </x:c>
      <x:c r="Q131" s="47" t="str">
        <x:v>https://www.epa.gov/ghgreporting/data-sets</x:v>
      </x:c>
      <x:c r="R131" s="44" t="n">
        <x:v>1000170</x:v>
      </x:c>
      <x:c r="S131" s="45" t="n">
        <x:f>VLOOKUP(H131,'Rules and Assumptions'!$A$5:$B$10,2,FALSE)</x:f>
        <x:v>16</x:v>
      </x:c>
      <x:c r="T131" s="45" t="n">
        <x:f>VLOOKUP(E131,'Rules and Assumptions'!$D$5:$F$15,2,FALSE)</x:f>
        <x:v>5</x:v>
      </x:c>
      <x:c r="U131" s="45" t="n">
        <x:f>VLOOKUP(J131,'Rules and Assumptions'!$H$5:$J$9,2,TRUE)</x:f>
        <x:v>25</x:v>
      </x:c>
      <x:c r="V131" s="45" t="n">
        <x:f>IF(D131&lt;&gt;"",4,0)+IF(F131&lt;&gt;"",2,0)+IF(G131&lt;&gt;"",1,0)+IF(L131&lt;&gt;"",2,0)+IF(R131&lt;&gt;"",1,0)</x:f>
        <x:v>10</x:v>
      </x:c>
      <x:c r="W131" s="45" t="n">
        <x:f>VLOOKUP(E131,'Rules and Assumptions'!$D$5:$F$15,3,FALSE)</x:f>
        <x:v>0</x:v>
      </x:c>
      <x:c r="X131" s="45" t="n">
        <x:f>SUM(S131:W131)</x:f>
        <x:v>56</x:v>
      </x:c>
      <x:c r="Y131" s="45" t="n">
        <x:f>RANK.EQ(X131,$X$5:$X$164,0)+COUNTIF($X$5:X131,X131)-1</x:f>
        <x:v>127</x:v>
      </x:c>
      <x:c r="Z131" s="43" t="str">
        <x:f>IF(Y131&lt;='Rules and Assumptions'!$M$5,"High",IF(Y131&lt;='Rules and Assumptions'!$M$6,"Medium","Low"))</x:f>
        <x:v>Low</x:v>
      </x:c>
      <x:c r="AA131" s="43" t="str">
        <x:f>LOWER(TRIM(B131))</x:f>
        <x:v>ghgrp-1000170</x:v>
      </x:c>
      <x:c r="AB131" s="43" t="str">
        <x:f>IF(COUNTIF($AA$5:$AA$164,AA131)&gt;1,"Review","Unique")</x:f>
        <x:v>Unique</x:v>
      </x:c>
      <x:c r="AC131" s="47" t="str">
        <x:v>Generation facility; low end-customer fit, retained for market context and qualification practice.</x:v>
      </x:c>
      <x:c r="AD131" s="46" t="n">
        <x:v>45520</x:v>
      </x:c>
    </x:row>
    <x:row r="132">
      <x:c r="A132" s="41" t="str">
        <x:v>NE-128</x:v>
      </x:c>
      <x:c r="B132" s="41" t="str">
        <x:v>GHGRP-1001307</x:v>
      </x:c>
      <x:c r="C132" s="47" t="str">
        <x:v>Millennium Power - Charlton, MA</x:v>
      </x:c>
      <x:c r="D132" s="47" t="str">
        <x:v>MILLENNIUM POWER CO LLC</x:v>
      </x:c>
      <x:c r="E132" s="47" t="str">
        <x:v>Power Plants</x:v>
      </x:c>
      <x:c r="F132" s="41" t="str">
        <x:v>221112</x:v>
      </x:c>
      <x:c r="G132" s="41" t="str">
        <x:v>Charlton</x:v>
      </x:c>
      <x:c r="H132" s="41" t="str">
        <x:v>MA</x:v>
      </x:c>
      <x:c r="I132" s="41" t="str">
        <x:v>01507</x:v>
      </x:c>
      <x:c r="J132" s="42" t="n">
        <x:v>243807.696</x:v>
      </x:c>
      <x:c r="K132" s="43" t="str">
        <x:f>VLOOKUP(J132,'Rules and Assumptions'!$H$5:$J$9,3,TRUE)</x:f>
        <x:v>Large Reporting Load</x:v>
      </x:c>
      <x:c r="L132" s="47" t="str">
        <x:v>Plant Manager</x:v>
      </x:c>
      <x:c r="M132" s="47" t="str">
        <x:v>Director of Operations</x:v>
      </x:c>
      <x:c r="N132" s="47" t="str">
        <x:v>Role identified; person not yet verified</x:v>
      </x:c>
      <x:c r="O132" s="47" t="str">
        <x:v>Market Intelligence - Generation</x:v>
      </x:c>
      <x:c r="P132" s="47" t="str">
        <x:v>Sales Rep A - Massachusetts</x:v>
      </x:c>
      <x:c r="Q132" s="47" t="str">
        <x:v>https://www.epa.gov/ghgreporting/data-sets</x:v>
      </x:c>
      <x:c r="R132" s="44" t="n">
        <x:v>1001307</x:v>
      </x:c>
      <x:c r="S132" s="45" t="n">
        <x:f>VLOOKUP(H132,'Rules and Assumptions'!$A$5:$B$10,2,FALSE)</x:f>
        <x:v>20</x:v>
      </x:c>
      <x:c r="T132" s="45" t="n">
        <x:f>VLOOKUP(E132,'Rules and Assumptions'!$D$5:$F$15,2,FALSE)</x:f>
        <x:v>5</x:v>
      </x:c>
      <x:c r="U132" s="45" t="n">
        <x:f>VLOOKUP(J132,'Rules and Assumptions'!$H$5:$J$9,2,TRUE)</x:f>
        <x:v>20</x:v>
      </x:c>
      <x:c r="V132" s="45" t="n">
        <x:f>IF(D132&lt;&gt;"",4,0)+IF(F132&lt;&gt;"",2,0)+IF(G132&lt;&gt;"",1,0)+IF(L132&lt;&gt;"",2,0)+IF(R132&lt;&gt;"",1,0)</x:f>
        <x:v>10</x:v>
      </x:c>
      <x:c r="W132" s="45" t="n">
        <x:f>VLOOKUP(E132,'Rules and Assumptions'!$D$5:$F$15,3,FALSE)</x:f>
        <x:v>0</x:v>
      </x:c>
      <x:c r="X132" s="45" t="n">
        <x:f>SUM(S132:W132)</x:f>
        <x:v>55</x:v>
      </x:c>
      <x:c r="Y132" s="45" t="n">
        <x:f>RANK.EQ(X132,$X$5:$X$164,0)+COUNTIF($X$5:X132,X132)-1</x:f>
        <x:v>128</x:v>
      </x:c>
      <x:c r="Z132" s="43" t="str">
        <x:f>IF(Y132&lt;='Rules and Assumptions'!$M$5,"High",IF(Y132&lt;='Rules and Assumptions'!$M$6,"Medium","Low"))</x:f>
        <x:v>Low</x:v>
      </x:c>
      <x:c r="AA132" s="43" t="str">
        <x:f>LOWER(TRIM(B132))</x:f>
        <x:v>ghgrp-1001307</x:v>
      </x:c>
      <x:c r="AB132" s="43" t="str">
        <x:f>IF(COUNTIF($AA$5:$AA$164,AA132)&gt;1,"Review","Unique")</x:f>
        <x:v>Unique</x:v>
      </x:c>
      <x:c r="AC132" s="47" t="str">
        <x:v>Generation facility; low end-customer fit, retained for market context and qualification practice.</x:v>
      </x:c>
      <x:c r="AD132" s="46" t="n">
        <x:v>45520</x:v>
      </x:c>
    </x:row>
    <x:row r="133">
      <x:c r="A133" s="41" t="str">
        <x:v>NE-129</x:v>
      </x:c>
      <x:c r="B133" s="41" t="str">
        <x:v>GHGRP-1001294</x:v>
      </x:c>
      <x:c r="C133" s="47" t="str">
        <x:v>Dighton - Dighton, MA</x:v>
      </x:c>
      <x:c r="D133" s="47" t="str">
        <x:v>Lotus Infrastructure Partners</x:v>
      </x:c>
      <x:c r="E133" s="47" t="str">
        <x:v>Power Plants</x:v>
      </x:c>
      <x:c r="F133" s="41" t="str">
        <x:v>221112</x:v>
      </x:c>
      <x:c r="G133" s="41" t="str">
        <x:v>Dighton</x:v>
      </x:c>
      <x:c r="H133" s="41" t="str">
        <x:v>MA</x:v>
      </x:c>
      <x:c r="I133" s="41" t="str">
        <x:v>02715</x:v>
      </x:c>
      <x:c r="J133" s="42" t="n">
        <x:v>151448.888</x:v>
      </x:c>
      <x:c r="K133" s="43" t="str">
        <x:f>VLOOKUP(J133,'Rules and Assumptions'!$H$5:$J$9,3,TRUE)</x:f>
        <x:v>Large Reporting Load</x:v>
      </x:c>
      <x:c r="L133" s="47" t="str">
        <x:v>Plant Manager</x:v>
      </x:c>
      <x:c r="M133" s="47" t="str">
        <x:v>Director of Operations</x:v>
      </x:c>
      <x:c r="N133" s="47" t="str">
        <x:v>Role identified; person not yet verified</x:v>
      </x:c>
      <x:c r="O133" s="47" t="str">
        <x:v>Market Intelligence - Generation</x:v>
      </x:c>
      <x:c r="P133" s="47" t="str">
        <x:v>Sales Rep A - Massachusetts</x:v>
      </x:c>
      <x:c r="Q133" s="47" t="str">
        <x:v>https://www.epa.gov/ghgreporting/data-sets</x:v>
      </x:c>
      <x:c r="R133" s="44" t="n">
        <x:v>1001294</x:v>
      </x:c>
      <x:c r="S133" s="45" t="n">
        <x:f>VLOOKUP(H133,'Rules and Assumptions'!$A$5:$B$10,2,FALSE)</x:f>
        <x:v>20</x:v>
      </x:c>
      <x:c r="T133" s="45" t="n">
        <x:f>VLOOKUP(E133,'Rules and Assumptions'!$D$5:$F$15,2,FALSE)</x:f>
        <x:v>5</x:v>
      </x:c>
      <x:c r="U133" s="45" t="n">
        <x:f>VLOOKUP(J133,'Rules and Assumptions'!$H$5:$J$9,2,TRUE)</x:f>
        <x:v>20</x:v>
      </x:c>
      <x:c r="V133" s="45" t="n">
        <x:f>IF(D133&lt;&gt;"",4,0)+IF(F133&lt;&gt;"",2,0)+IF(G133&lt;&gt;"",1,0)+IF(L133&lt;&gt;"",2,0)+IF(R133&lt;&gt;"",1,0)</x:f>
        <x:v>10</x:v>
      </x:c>
      <x:c r="W133" s="45" t="n">
        <x:f>VLOOKUP(E133,'Rules and Assumptions'!$D$5:$F$15,3,FALSE)</x:f>
        <x:v>0</x:v>
      </x:c>
      <x:c r="X133" s="45" t="n">
        <x:f>SUM(S133:W133)</x:f>
        <x:v>55</x:v>
      </x:c>
      <x:c r="Y133" s="45" t="n">
        <x:f>RANK.EQ(X133,$X$5:$X$164,0)+COUNTIF($X$5:X133,X133)-1</x:f>
        <x:v>129</x:v>
      </x:c>
      <x:c r="Z133" s="43" t="str">
        <x:f>IF(Y133&lt;='Rules and Assumptions'!$M$5,"High",IF(Y133&lt;='Rules and Assumptions'!$M$6,"Medium","Low"))</x:f>
        <x:v>Low</x:v>
      </x:c>
      <x:c r="AA133" s="43" t="str">
        <x:f>LOWER(TRIM(B133))</x:f>
        <x:v>ghgrp-1001294</x:v>
      </x:c>
      <x:c r="AB133" s="43" t="str">
        <x:f>IF(COUNTIF($AA$5:$AA$164,AA133)&gt;1,"Review","Unique")</x:f>
        <x:v>Unique</x:v>
      </x:c>
      <x:c r="AC133" s="47" t="str">
        <x:v>Generation facility; low end-customer fit, retained for market context and qualification practice.</x:v>
      </x:c>
      <x:c r="AD133" s="46" t="n">
        <x:v>45520</x:v>
      </x:c>
    </x:row>
    <x:row r="134">
      <x:c r="A134" s="41" t="str">
        <x:v>NE-130</x:v>
      </x:c>
      <x:c r="B134" s="41" t="str">
        <x:v>GHGRP-1014566</x:v>
      </x:c>
      <x:c r="C134" s="47" t="str">
        <x:v>Westbrook - Westbrook, ME</x:v>
      </x:c>
      <x:c r="D134" s="47" t="str">
        <x:v>Enbridge (US) Inc</x:v>
      </x:c>
      <x:c r="E134" s="47" t="str">
        <x:v>Petroleum and Natural Gas Systems</x:v>
      </x:c>
      <x:c r="F134" s="41" t="str">
        <x:v>486210</x:v>
      </x:c>
      <x:c r="G134" s="41" t="str">
        <x:v>Westbrook</x:v>
      </x:c>
      <x:c r="H134" s="41" t="str">
        <x:v>ME</x:v>
      </x:c>
      <x:c r="I134" s="41" t="str">
        <x:v>04092</x:v>
      </x:c>
      <x:c r="J134" s="42" t="n">
        <x:v>43382.048</x:v>
      </x:c>
      <x:c r="K134" s="43" t="str">
        <x:f>VLOOKUP(J134,'Rules and Assumptions'!$H$5:$J$9,3,TRUE)</x:f>
        <x:v>Small Reporting Load</x:v>
      </x:c>
      <x:c r="L134" s="47" t="str">
        <x:v>Director of Operations</x:v>
      </x:c>
      <x:c r="M134" s="47" t="str">
        <x:v>Energy Procurement Manager</x:v>
      </x:c>
      <x:c r="N134" s="47" t="str">
        <x:v>Role identified; person not yet verified</x:v>
      </x:c>
      <x:c r="O134" s="47" t="str">
        <x:v>Energy Infrastructure</x:v>
      </x:c>
      <x:c r="P134" s="47" t="str">
        <x:v>Sales Rep C - Northern New England</x:v>
      </x:c>
      <x:c r="Q134" s="47" t="str">
        <x:v>https://www.epa.gov/ghgreporting/data-sets</x:v>
      </x:c>
      <x:c r="R134" s="44" t="n">
        <x:v>1014566</x:v>
      </x:c>
      <x:c r="S134" s="45" t="n">
        <x:f>VLOOKUP(H134,'Rules and Assumptions'!$A$5:$B$10,2,FALSE)</x:f>
        <x:v>12</x:v>
      </x:c>
      <x:c r="T134" s="45" t="n">
        <x:f>VLOOKUP(E134,'Rules and Assumptions'!$D$5:$F$15,2,FALSE)</x:f>
        <x:v>15</x:v>
      </x:c>
      <x:c r="U134" s="45" t="n">
        <x:f>VLOOKUP(J134,'Rules and Assumptions'!$H$5:$J$9,2,TRUE)</x:f>
        <x:v>10</x:v>
      </x:c>
      <x:c r="V134" s="45" t="n">
        <x:f>IF(D134&lt;&gt;"",4,0)+IF(F134&lt;&gt;"",2,0)+IF(G134&lt;&gt;"",1,0)+IF(L134&lt;&gt;"",2,0)+IF(R134&lt;&gt;"",1,0)</x:f>
        <x:v>10</x:v>
      </x:c>
      <x:c r="W134" s="45" t="n">
        <x:f>VLOOKUP(E134,'Rules and Assumptions'!$D$5:$F$15,3,FALSE)</x:f>
        <x:v>7</x:v>
      </x:c>
      <x:c r="X134" s="45" t="n">
        <x:f>SUM(S134:W134)</x:f>
        <x:v>54</x:v>
      </x:c>
      <x:c r="Y134" s="45" t="n">
        <x:f>RANK.EQ(X134,$X$5:$X$164,0)+COUNTIF($X$5:X134,X134)-1</x:f>
        <x:v>130</x:v>
      </x:c>
      <x:c r="Z134" s="43" t="str">
        <x:f>IF(Y134&lt;='Rules and Assumptions'!$M$5,"High",IF(Y134&lt;='Rules and Assumptions'!$M$6,"Medium","Low"))</x:f>
        <x:v>Low</x:v>
      </x:c>
      <x:c r="AA134" s="43" t="str">
        <x:f>LOWER(TRIM(B134))</x:f>
        <x:v>ghgrp-1014566</x:v>
      </x:c>
      <x:c r="AB134" s="43" t="str">
        <x:f>IF(COUNTIF($AA$5:$AA$164,AA134)&gt;1,"Review","Unique")</x:f>
        <x:v>Unique</x:v>
      </x:c>
      <x:c r="AC134" s="47" t="str">
        <x:v>Energy-sector operator; retain for market intelligence and qualify end-customer purchasing fit.</x:v>
      </x:c>
      <x:c r="AD134" s="46" t="n">
        <x:v>45520</x:v>
      </x:c>
    </x:row>
    <x:row r="135">
      <x:c r="A135" s="41" t="str">
        <x:v>NE-131</x:v>
      </x:c>
      <x:c r="B135" s="41" t="str">
        <x:v>GHGRP-1008371</x:v>
      </x:c>
      <x:c r="C135" s="47" t="str">
        <x:v>Richmond Station - Richmond, ME</x:v>
      </x:c>
      <x:c r="D135" s="47" t="str">
        <x:v>Enbridge (US) Inc</x:v>
      </x:c>
      <x:c r="E135" s="47" t="str">
        <x:v>Petroleum and Natural Gas Systems</x:v>
      </x:c>
      <x:c r="F135" s="41" t="str">
        <x:v>486210</x:v>
      </x:c>
      <x:c r="G135" s="41" t="str">
        <x:v>Richmond</x:v>
      </x:c>
      <x:c r="H135" s="41" t="str">
        <x:v>ME</x:v>
      </x:c>
      <x:c r="I135" s="41" t="str">
        <x:v>04357</x:v>
      </x:c>
      <x:c r="J135" s="42" t="n">
        <x:v>25875.006</x:v>
      </x:c>
      <x:c r="K135" s="43" t="str">
        <x:f>VLOOKUP(J135,'Rules and Assumptions'!$H$5:$J$9,3,TRUE)</x:f>
        <x:v>Small Reporting Load</x:v>
      </x:c>
      <x:c r="L135" s="47" t="str">
        <x:v>Director of Operations</x:v>
      </x:c>
      <x:c r="M135" s="47" t="str">
        <x:v>Energy Procurement Manager</x:v>
      </x:c>
      <x:c r="N135" s="47" t="str">
        <x:v>Role identified; person not yet verified</x:v>
      </x:c>
      <x:c r="O135" s="47" t="str">
        <x:v>Energy Infrastructure</x:v>
      </x:c>
      <x:c r="P135" s="47" t="str">
        <x:v>Sales Rep C - Northern New England</x:v>
      </x:c>
      <x:c r="Q135" s="47" t="str">
        <x:v>https://www.epa.gov/ghgreporting/data-sets</x:v>
      </x:c>
      <x:c r="R135" s="44" t="n">
        <x:v>1008371</x:v>
      </x:c>
      <x:c r="S135" s="45" t="n">
        <x:f>VLOOKUP(H135,'Rules and Assumptions'!$A$5:$B$10,2,FALSE)</x:f>
        <x:v>12</x:v>
      </x:c>
      <x:c r="T135" s="45" t="n">
        <x:f>VLOOKUP(E135,'Rules and Assumptions'!$D$5:$F$15,2,FALSE)</x:f>
        <x:v>15</x:v>
      </x:c>
      <x:c r="U135" s="45" t="n">
        <x:f>VLOOKUP(J135,'Rules and Assumptions'!$H$5:$J$9,2,TRUE)</x:f>
        <x:v>10</x:v>
      </x:c>
      <x:c r="V135" s="45" t="n">
        <x:f>IF(D135&lt;&gt;"",4,0)+IF(F135&lt;&gt;"",2,0)+IF(G135&lt;&gt;"",1,0)+IF(L135&lt;&gt;"",2,0)+IF(R135&lt;&gt;"",1,0)</x:f>
        <x:v>10</x:v>
      </x:c>
      <x:c r="W135" s="45" t="n">
        <x:f>VLOOKUP(E135,'Rules and Assumptions'!$D$5:$F$15,3,FALSE)</x:f>
        <x:v>7</x:v>
      </x:c>
      <x:c r="X135" s="45" t="n">
        <x:f>SUM(S135:W135)</x:f>
        <x:v>54</x:v>
      </x:c>
      <x:c r="Y135" s="45" t="n">
        <x:f>RANK.EQ(X135,$X$5:$X$164,0)+COUNTIF($X$5:X135,X135)-1</x:f>
        <x:v>131</x:v>
      </x:c>
      <x:c r="Z135" s="43" t="str">
        <x:f>IF(Y135&lt;='Rules and Assumptions'!$M$5,"High",IF(Y135&lt;='Rules and Assumptions'!$M$6,"Medium","Low"))</x:f>
        <x:v>Low</x:v>
      </x:c>
      <x:c r="AA135" s="43" t="str">
        <x:f>LOWER(TRIM(B135))</x:f>
        <x:v>ghgrp-1008371</x:v>
      </x:c>
      <x:c r="AB135" s="43" t="str">
        <x:f>IF(COUNTIF($AA$5:$AA$164,AA135)&gt;1,"Review","Unique")</x:f>
        <x:v>Unique</x:v>
      </x:c>
      <x:c r="AC135" s="47" t="str">
        <x:v>Energy-sector operator; retain for market intelligence and qualify end-customer purchasing fit.</x:v>
      </x:c>
      <x:c r="AD135" s="46" t="n">
        <x:v>45520</x:v>
      </x:c>
    </x:row>
    <x:row r="136">
      <x:c r="A136" s="41" t="str">
        <x:v>NE-132</x:v>
      </x:c>
      <x:c r="B136" s="41" t="str">
        <x:v>GHGRP-1007422</x:v>
      </x:c>
      <x:c r="C136" s="47" t="str">
        <x:v>Maine Independence Station - Veazie, ME</x:v>
      </x:c>
      <x:c r="D136" s="47" t="str">
        <x:v>Vistra Corp</x:v>
      </x:c>
      <x:c r="E136" s="47" t="str">
        <x:v>Power Plants</x:v>
      </x:c>
      <x:c r="F136" s="41" t="str">
        <x:v>221112</x:v>
      </x:c>
      <x:c r="G136" s="41" t="str">
        <x:v>Veazie</x:v>
      </x:c>
      <x:c r="H136" s="41" t="str">
        <x:v>ME</x:v>
      </x:c>
      <x:c r="I136" s="41" t="str">
        <x:v>04401</x:v>
      </x:c>
      <x:c r="J136" s="42" t="n">
        <x:v>380420.64</x:v>
      </x:c>
      <x:c r="K136" s="43" t="str">
        <x:f>VLOOKUP(J136,'Rules and Assumptions'!$H$5:$J$9,3,TRUE)</x:f>
        <x:v>Very Large Reporting Load</x:v>
      </x:c>
      <x:c r="L136" s="47" t="str">
        <x:v>Plant Manager</x:v>
      </x:c>
      <x:c r="M136" s="47" t="str">
        <x:v>Director of Operations</x:v>
      </x:c>
      <x:c r="N136" s="47" t="str">
        <x:v>Role identified; person not yet verified</x:v>
      </x:c>
      <x:c r="O136" s="47" t="str">
        <x:v>Market Intelligence - Generation</x:v>
      </x:c>
      <x:c r="P136" s="47" t="str">
        <x:v>Sales Rep C - Northern New England</x:v>
      </x:c>
      <x:c r="Q136" s="47" t="str">
        <x:v>https://www.epa.gov/ghgreporting/data-sets</x:v>
      </x:c>
      <x:c r="R136" s="44" t="n">
        <x:v>1007422</x:v>
      </x:c>
      <x:c r="S136" s="45" t="n">
        <x:f>VLOOKUP(H136,'Rules and Assumptions'!$A$5:$B$10,2,FALSE)</x:f>
        <x:v>12</x:v>
      </x:c>
      <x:c r="T136" s="45" t="n">
        <x:f>VLOOKUP(E136,'Rules and Assumptions'!$D$5:$F$15,2,FALSE)</x:f>
        <x:v>5</x:v>
      </x:c>
      <x:c r="U136" s="45" t="n">
        <x:f>VLOOKUP(J136,'Rules and Assumptions'!$H$5:$J$9,2,TRUE)</x:f>
        <x:v>25</x:v>
      </x:c>
      <x:c r="V136" s="45" t="n">
        <x:f>IF(D136&lt;&gt;"",4,0)+IF(F136&lt;&gt;"",2,0)+IF(G136&lt;&gt;"",1,0)+IF(L136&lt;&gt;"",2,0)+IF(R136&lt;&gt;"",1,0)</x:f>
        <x:v>10</x:v>
      </x:c>
      <x:c r="W136" s="45" t="n">
        <x:f>VLOOKUP(E136,'Rules and Assumptions'!$D$5:$F$15,3,FALSE)</x:f>
        <x:v>0</x:v>
      </x:c>
      <x:c r="X136" s="45" t="n">
        <x:f>SUM(S136:W136)</x:f>
        <x:v>52</x:v>
      </x:c>
      <x:c r="Y136" s="45" t="n">
        <x:f>RANK.EQ(X136,$X$5:$X$164,0)+COUNTIF($X$5:X136,X136)-1</x:f>
        <x:v>132</x:v>
      </x:c>
      <x:c r="Z136" s="43" t="str">
        <x:f>IF(Y136&lt;='Rules and Assumptions'!$M$5,"High",IF(Y136&lt;='Rules and Assumptions'!$M$6,"Medium","Low"))</x:f>
        <x:v>Low</x:v>
      </x:c>
      <x:c r="AA136" s="43" t="str">
        <x:f>LOWER(TRIM(B136))</x:f>
        <x:v>ghgrp-1007422</x:v>
      </x:c>
      <x:c r="AB136" s="43" t="str">
        <x:f>IF(COUNTIF($AA$5:$AA$164,AA136)&gt;1,"Review","Unique")</x:f>
        <x:v>Unique</x:v>
      </x:c>
      <x:c r="AC136" s="47" t="str">
        <x:v>Generation facility; low end-customer fit, retained for market context and qualification practice.</x:v>
      </x:c>
      <x:c r="AD136" s="46" t="n">
        <x:v>45520</x:v>
      </x:c>
    </x:row>
    <x:row r="137">
      <x:c r="A137" s="41" t="str">
        <x:v>NE-133</x:v>
      </x:c>
      <x:c r="B137" s="41" t="str">
        <x:v>GHGRP-1000729</x:v>
      </x:c>
      <x:c r="C137" s="47" t="str">
        <x:v>Merrimack - Bow, NH</x:v>
      </x:c>
      <x:c r="D137" s="47" t="str">
        <x:v>GRANITE SHORE POWER LLC</x:v>
      </x:c>
      <x:c r="E137" s="47" t="str">
        <x:v>Power Plants</x:v>
      </x:c>
      <x:c r="F137" s="41" t="str">
        <x:v>221112</x:v>
      </x:c>
      <x:c r="G137" s="41" t="str">
        <x:v>Bow</x:v>
      </x:c>
      <x:c r="H137" s="41" t="str">
        <x:v>NH</x:v>
      </x:c>
      <x:c r="I137" s="41" t="str">
        <x:v>03304</x:v>
      </x:c>
      <x:c r="J137" s="42" t="n">
        <x:v>171786.46</x:v>
      </x:c>
      <x:c r="K137" s="43" t="str">
        <x:f>VLOOKUP(J137,'Rules and Assumptions'!$H$5:$J$9,3,TRUE)</x:f>
        <x:v>Large Reporting Load</x:v>
      </x:c>
      <x:c r="L137" s="47" t="str">
        <x:v>Plant Manager</x:v>
      </x:c>
      <x:c r="M137" s="47" t="str">
        <x:v>Director of Operations</x:v>
      </x:c>
      <x:c r="N137" s="47" t="str">
        <x:v>Role identified; person not yet verified</x:v>
      </x:c>
      <x:c r="O137" s="47" t="str">
        <x:v>Market Intelligence - Generation</x:v>
      </x:c>
      <x:c r="P137" s="47" t="str">
        <x:v>Sales Rep C - Northern New England</x:v>
      </x:c>
      <x:c r="Q137" s="47" t="str">
        <x:v>https://www.epa.gov/ghgreporting/data-sets</x:v>
      </x:c>
      <x:c r="R137" s="44" t="n">
        <x:v>1000729</x:v>
      </x:c>
      <x:c r="S137" s="45" t="n">
        <x:f>VLOOKUP(H137,'Rules and Assumptions'!$A$5:$B$10,2,FALSE)</x:f>
        <x:v>16</x:v>
      </x:c>
      <x:c r="T137" s="45" t="n">
        <x:f>VLOOKUP(E137,'Rules and Assumptions'!$D$5:$F$15,2,FALSE)</x:f>
        <x:v>5</x:v>
      </x:c>
      <x:c r="U137" s="45" t="n">
        <x:f>VLOOKUP(J137,'Rules and Assumptions'!$H$5:$J$9,2,TRUE)</x:f>
        <x:v>20</x:v>
      </x:c>
      <x:c r="V137" s="45" t="n">
        <x:f>IF(D137&lt;&gt;"",4,0)+IF(F137&lt;&gt;"",2,0)+IF(G137&lt;&gt;"",1,0)+IF(L137&lt;&gt;"",2,0)+IF(R137&lt;&gt;"",1,0)</x:f>
        <x:v>10</x:v>
      </x:c>
      <x:c r="W137" s="45" t="n">
        <x:f>VLOOKUP(E137,'Rules and Assumptions'!$D$5:$F$15,3,FALSE)</x:f>
        <x:v>0</x:v>
      </x:c>
      <x:c r="X137" s="45" t="n">
        <x:f>SUM(S137:W137)</x:f>
        <x:v>51</x:v>
      </x:c>
      <x:c r="Y137" s="45" t="n">
        <x:f>RANK.EQ(X137,$X$5:$X$164,0)+COUNTIF($X$5:X137,X137)-1</x:f>
        <x:v>133</x:v>
      </x:c>
      <x:c r="Z137" s="43" t="str">
        <x:f>IF(Y137&lt;='Rules and Assumptions'!$M$5,"High",IF(Y137&lt;='Rules and Assumptions'!$M$6,"Medium","Low"))</x:f>
        <x:v>Low</x:v>
      </x:c>
      <x:c r="AA137" s="43" t="str">
        <x:f>LOWER(TRIM(B137))</x:f>
        <x:v>ghgrp-1000729</x:v>
      </x:c>
      <x:c r="AB137" s="43" t="str">
        <x:f>IF(COUNTIF($AA$5:$AA$164,AA137)&gt;1,"Review","Unique")</x:f>
        <x:v>Unique</x:v>
      </x:c>
      <x:c r="AC137" s="47" t="str">
        <x:v>Generation facility; low end-customer fit, retained for market context and qualification practice.</x:v>
      </x:c>
      <x:c r="AD137" s="46" t="n">
        <x:v>45520</x:v>
      </x:c>
    </x:row>
    <x:row r="138">
      <x:c r="A138" s="41" t="str">
        <x:v>NE-134</x:v>
      </x:c>
      <x:c r="B138" s="41" t="str">
        <x:v>GHGRP-1006408</x:v>
      </x:c>
      <x:c r="C138" s="47" t="str">
        <x:v>Middletown - Middletown, CT</x:v>
      </x:c>
      <x:c r="D138" s="47" t="str">
        <x:v>ARCLIGHT ENERGY PARTNERS FUND VII LP</x:v>
      </x:c>
      <x:c r="E138" s="47" t="str">
        <x:v>Power Plants</x:v>
      </x:c>
      <x:c r="F138" s="41" t="str">
        <x:v>221112</x:v>
      </x:c>
      <x:c r="G138" s="41" t="str">
        <x:v>Middletown</x:v>
      </x:c>
      <x:c r="H138" s="41" t="str">
        <x:v>CT</x:v>
      </x:c>
      <x:c r="I138" s="41" t="str">
        <x:v>06457</x:v>
      </x:c>
      <x:c r="J138" s="42" t="n">
        <x:v>132892.286</x:v>
      </x:c>
      <x:c r="K138" s="43" t="str">
        <x:f>VLOOKUP(J138,'Rules and Assumptions'!$H$5:$J$9,3,TRUE)</x:f>
        <x:v>Large Reporting Load</x:v>
      </x:c>
      <x:c r="L138" s="47" t="str">
        <x:v>Plant Manager</x:v>
      </x:c>
      <x:c r="M138" s="47" t="str">
        <x:v>Director of Operations</x:v>
      </x:c>
      <x:c r="N138" s="47" t="str">
        <x:v>Role identified; person not yet verified</x:v>
      </x:c>
      <x:c r="O138" s="47" t="str">
        <x:v>Market Intelligence - Generation</x:v>
      </x:c>
      <x:c r="P138" s="47" t="str">
        <x:v>Sales Rep B - Connecticut/Rhode Island</x:v>
      </x:c>
      <x:c r="Q138" s="47" t="str">
        <x:v>https://www.epa.gov/ghgreporting/data-sets</x:v>
      </x:c>
      <x:c r="R138" s="44" t="n">
        <x:v>1006408</x:v>
      </x:c>
      <x:c r="S138" s="45" t="n">
        <x:f>VLOOKUP(H138,'Rules and Assumptions'!$A$5:$B$10,2,FALSE)</x:f>
        <x:v>16</x:v>
      </x:c>
      <x:c r="T138" s="45" t="n">
        <x:f>VLOOKUP(E138,'Rules and Assumptions'!$D$5:$F$15,2,FALSE)</x:f>
        <x:v>5</x:v>
      </x:c>
      <x:c r="U138" s="45" t="n">
        <x:f>VLOOKUP(J138,'Rules and Assumptions'!$H$5:$J$9,2,TRUE)</x:f>
        <x:v>20</x:v>
      </x:c>
      <x:c r="V138" s="45" t="n">
        <x:f>IF(D138&lt;&gt;"",4,0)+IF(F138&lt;&gt;"",2,0)+IF(G138&lt;&gt;"",1,0)+IF(L138&lt;&gt;"",2,0)+IF(R138&lt;&gt;"",1,0)</x:f>
        <x:v>10</x:v>
      </x:c>
      <x:c r="W138" s="45" t="n">
        <x:f>VLOOKUP(E138,'Rules and Assumptions'!$D$5:$F$15,3,FALSE)</x:f>
        <x:v>0</x:v>
      </x:c>
      <x:c r="X138" s="45" t="n">
        <x:f>SUM(S138:W138)</x:f>
        <x:v>51</x:v>
      </x:c>
      <x:c r="Y138" s="45" t="n">
        <x:f>RANK.EQ(X138,$X$5:$X$164,0)+COUNTIF($X$5:X138,X138)-1</x:f>
        <x:v>134</x:v>
      </x:c>
      <x:c r="Z138" s="43" t="str">
        <x:f>IF(Y138&lt;='Rules and Assumptions'!$M$5,"High",IF(Y138&lt;='Rules and Assumptions'!$M$6,"Medium","Low"))</x:f>
        <x:v>Low</x:v>
      </x:c>
      <x:c r="AA138" s="43" t="str">
        <x:f>LOWER(TRIM(B138))</x:f>
        <x:v>ghgrp-1006408</x:v>
      </x:c>
      <x:c r="AB138" s="43" t="str">
        <x:f>IF(COUNTIF($AA$5:$AA$164,AA138)&gt;1,"Review","Unique")</x:f>
        <x:v>Unique</x:v>
      </x:c>
      <x:c r="AC138" s="47" t="str">
        <x:v>Generation facility; low end-customer fit, retained for market context and qualification practice.</x:v>
      </x:c>
      <x:c r="AD138" s="46" t="n">
        <x:v>45520</x:v>
      </x:c>
    </x:row>
    <x:row r="139">
      <x:c r="A139" s="41" t="str">
        <x:v>NE-135</x:v>
      </x:c>
      <x:c r="B139" s="41" t="str">
        <x:v>GHGRP-1006775</x:v>
      </x:c>
      <x:c r="C139" s="47" t="str">
        <x:v>Milford Power, LLC - Milford, MA</x:v>
      </x:c>
      <x:c r="D139" s="47" t="str">
        <x:v>JERA ENERGY AMERICA LLC</x:v>
      </x:c>
      <x:c r="E139" s="47" t="str">
        <x:v>Power Plants</x:v>
      </x:c>
      <x:c r="F139" s="41" t="str">
        <x:v>221112</x:v>
      </x:c>
      <x:c r="G139" s="41" t="str">
        <x:v>Milford</x:v>
      </x:c>
      <x:c r="H139" s="41" t="str">
        <x:v>MA</x:v>
      </x:c>
      <x:c r="I139" s="41" t="str">
        <x:v>01757</x:v>
      </x:c>
      <x:c r="J139" s="42" t="n">
        <x:v>97706.688</x:v>
      </x:c>
      <x:c r="K139" s="43" t="str">
        <x:f>VLOOKUP(J139,'Rules and Assumptions'!$H$5:$J$9,3,TRUE)</x:f>
        <x:v>Mid Reporting Load</x:v>
      </x:c>
      <x:c r="L139" s="47" t="str">
        <x:v>Plant Manager</x:v>
      </x:c>
      <x:c r="M139" s="47" t="str">
        <x:v>Director of Operations</x:v>
      </x:c>
      <x:c r="N139" s="47" t="str">
        <x:v>Role identified; person not yet verified</x:v>
      </x:c>
      <x:c r="O139" s="47" t="str">
        <x:v>Market Intelligence - Generation</x:v>
      </x:c>
      <x:c r="P139" s="47" t="str">
        <x:v>Sales Rep A - Massachusetts</x:v>
      </x:c>
      <x:c r="Q139" s="47" t="str">
        <x:v>https://www.epa.gov/ghgreporting/data-sets</x:v>
      </x:c>
      <x:c r="R139" s="44" t="n">
        <x:v>1006775</x:v>
      </x:c>
      <x:c r="S139" s="45" t="n">
        <x:f>VLOOKUP(H139,'Rules and Assumptions'!$A$5:$B$10,2,FALSE)</x:f>
        <x:v>20</x:v>
      </x:c>
      <x:c r="T139" s="45" t="n">
        <x:f>VLOOKUP(E139,'Rules and Assumptions'!$D$5:$F$15,2,FALSE)</x:f>
        <x:v>5</x:v>
      </x:c>
      <x:c r="U139" s="45" t="n">
        <x:f>VLOOKUP(J139,'Rules and Assumptions'!$H$5:$J$9,2,TRUE)</x:f>
        <x:v>15</x:v>
      </x:c>
      <x:c r="V139" s="45" t="n">
        <x:f>IF(D139&lt;&gt;"",4,0)+IF(F139&lt;&gt;"",2,0)+IF(G139&lt;&gt;"",1,0)+IF(L139&lt;&gt;"",2,0)+IF(R139&lt;&gt;"",1,0)</x:f>
        <x:v>10</x:v>
      </x:c>
      <x:c r="W139" s="45" t="n">
        <x:f>VLOOKUP(E139,'Rules and Assumptions'!$D$5:$F$15,3,FALSE)</x:f>
        <x:v>0</x:v>
      </x:c>
      <x:c r="X139" s="45" t="n">
        <x:f>SUM(S139:W139)</x:f>
        <x:v>50</x:v>
      </x:c>
      <x:c r="Y139" s="45" t="n">
        <x:f>RANK.EQ(X139,$X$5:$X$164,0)+COUNTIF($X$5:X139,X139)-1</x:f>
        <x:v>135</x:v>
      </x:c>
      <x:c r="Z139" s="43" t="str">
        <x:f>IF(Y139&lt;='Rules and Assumptions'!$M$5,"High",IF(Y139&lt;='Rules and Assumptions'!$M$6,"Medium","Low"))</x:f>
        <x:v>Low</x:v>
      </x:c>
      <x:c r="AA139" s="43" t="str">
        <x:f>LOWER(TRIM(B139))</x:f>
        <x:v>ghgrp-1006775</x:v>
      </x:c>
      <x:c r="AB139" s="43" t="str">
        <x:f>IF(COUNTIF($AA$5:$AA$164,AA139)&gt;1,"Review","Unique")</x:f>
        <x:v>Unique</x:v>
      </x:c>
      <x:c r="AC139" s="47" t="str">
        <x:v>Generation facility; low end-customer fit, retained for market context and qualification practice.</x:v>
      </x:c>
      <x:c r="AD139" s="46" t="n">
        <x:v>45520</x:v>
      </x:c>
    </x:row>
    <x:row r="140">
      <x:c r="A140" s="41" t="str">
        <x:v>NE-136</x:v>
      </x:c>
      <x:c r="B140" s="41" t="str">
        <x:v>GHGRP-1000655</x:v>
      </x:c>
      <x:c r="C140" s="47" t="str">
        <x:v>Medway Station - Medway, MA</x:v>
      </x:c>
      <x:c r="D140" s="47" t="str">
        <x:v>CONSTELLATION ENERGY CORP</x:v>
      </x:c>
      <x:c r="E140" s="47" t="str">
        <x:v>Power Plants</x:v>
      </x:c>
      <x:c r="F140" s="41" t="str">
        <x:v>221112</x:v>
      </x:c>
      <x:c r="G140" s="41" t="str">
        <x:v>Medway</x:v>
      </x:c>
      <x:c r="H140" s="41" t="str">
        <x:v>MA</x:v>
      </x:c>
      <x:c r="I140" s="41" t="str">
        <x:v>02053</x:v>
      </x:c>
      <x:c r="J140" s="42" t="n">
        <x:v>96770.414</x:v>
      </x:c>
      <x:c r="K140" s="43" t="str">
        <x:f>VLOOKUP(J140,'Rules and Assumptions'!$H$5:$J$9,3,TRUE)</x:f>
        <x:v>Mid Reporting Load</x:v>
      </x:c>
      <x:c r="L140" s="47" t="str">
        <x:v>Plant Manager</x:v>
      </x:c>
      <x:c r="M140" s="47" t="str">
        <x:v>Director of Operations</x:v>
      </x:c>
      <x:c r="N140" s="47" t="str">
        <x:v>Role identified; person not yet verified</x:v>
      </x:c>
      <x:c r="O140" s="47" t="str">
        <x:v>Market Intelligence - Generation</x:v>
      </x:c>
      <x:c r="P140" s="47" t="str">
        <x:v>Sales Rep A - Massachusetts</x:v>
      </x:c>
      <x:c r="Q140" s="47" t="str">
        <x:v>https://www.epa.gov/ghgreporting/data-sets</x:v>
      </x:c>
      <x:c r="R140" s="44" t="n">
        <x:v>1000655</x:v>
      </x:c>
      <x:c r="S140" s="45" t="n">
        <x:f>VLOOKUP(H140,'Rules and Assumptions'!$A$5:$B$10,2,FALSE)</x:f>
        <x:v>20</x:v>
      </x:c>
      <x:c r="T140" s="45" t="n">
        <x:f>VLOOKUP(E140,'Rules and Assumptions'!$D$5:$F$15,2,FALSE)</x:f>
        <x:v>5</x:v>
      </x:c>
      <x:c r="U140" s="45" t="n">
        <x:f>VLOOKUP(J140,'Rules and Assumptions'!$H$5:$J$9,2,TRUE)</x:f>
        <x:v>15</x:v>
      </x:c>
      <x:c r="V140" s="45" t="n">
        <x:f>IF(D140&lt;&gt;"",4,0)+IF(F140&lt;&gt;"",2,0)+IF(G140&lt;&gt;"",1,0)+IF(L140&lt;&gt;"",2,0)+IF(R140&lt;&gt;"",1,0)</x:f>
        <x:v>10</x:v>
      </x:c>
      <x:c r="W140" s="45" t="n">
        <x:f>VLOOKUP(E140,'Rules and Assumptions'!$D$5:$F$15,3,FALSE)</x:f>
        <x:v>0</x:v>
      </x:c>
      <x:c r="X140" s="45" t="n">
        <x:f>SUM(S140:W140)</x:f>
        <x:v>50</x:v>
      </x:c>
      <x:c r="Y140" s="45" t="n">
        <x:f>RANK.EQ(X140,$X$5:$X$164,0)+COUNTIF($X$5:X140,X140)-1</x:f>
        <x:v>136</x:v>
      </x:c>
      <x:c r="Z140" s="43" t="str">
        <x:f>IF(Y140&lt;='Rules and Assumptions'!$M$5,"High",IF(Y140&lt;='Rules and Assumptions'!$M$6,"Medium","Low"))</x:f>
        <x:v>Low</x:v>
      </x:c>
      <x:c r="AA140" s="43" t="str">
        <x:f>LOWER(TRIM(B140))</x:f>
        <x:v>ghgrp-1000655</x:v>
      </x:c>
      <x:c r="AB140" s="43" t="str">
        <x:f>IF(COUNTIF($AA$5:$AA$164,AA140)&gt;1,"Review","Unique")</x:f>
        <x:v>Unique</x:v>
      </x:c>
      <x:c r="AC140" s="47" t="str">
        <x:v>Generation facility; low end-customer fit, retained for market context and qualification practice.</x:v>
      </x:c>
      <x:c r="AD140" s="46" t="n">
        <x:v>45520</x:v>
      </x:c>
    </x:row>
    <x:row r="141">
      <x:c r="A141" s="41" t="str">
        <x:v>NE-137</x:v>
      </x:c>
      <x:c r="B141" s="41" t="str">
        <x:v>GHGRP-1000092</x:v>
      </x:c>
      <x:c r="C141" s="47" t="str">
        <x:v>Kneeland Station - Boston, MA</x:v>
      </x:c>
      <x:c r="D141" s="47" t="str">
        <x:v>VICINITY ENERGY INC</x:v>
      </x:c>
      <x:c r="E141" s="47" t="str">
        <x:v>Power Plants</x:v>
      </x:c>
      <x:c r="F141" s="41" t="str">
        <x:v>221330</x:v>
      </x:c>
      <x:c r="G141" s="41" t="str">
        <x:v>Boston</x:v>
      </x:c>
      <x:c r="H141" s="41" t="str">
        <x:v>MA</x:v>
      </x:c>
      <x:c r="I141" s="41" t="str">
        <x:v>02111</x:v>
      </x:c>
      <x:c r="J141" s="42" t="n">
        <x:v>69195.294</x:v>
      </x:c>
      <x:c r="K141" s="43" t="str">
        <x:f>VLOOKUP(J141,'Rules and Assumptions'!$H$5:$J$9,3,TRUE)</x:f>
        <x:v>Mid Reporting Load</x:v>
      </x:c>
      <x:c r="L141" s="47" t="str">
        <x:v>Plant Manager</x:v>
      </x:c>
      <x:c r="M141" s="47" t="str">
        <x:v>Director of Operations</x:v>
      </x:c>
      <x:c r="N141" s="47" t="str">
        <x:v>Role identified; person not yet verified</x:v>
      </x:c>
      <x:c r="O141" s="47" t="str">
        <x:v>Market Intelligence - Generation</x:v>
      </x:c>
      <x:c r="P141" s="47" t="str">
        <x:v>Sales Rep A - Massachusetts</x:v>
      </x:c>
      <x:c r="Q141" s="47" t="str">
        <x:v>https://www.epa.gov/ghgreporting/data-sets</x:v>
      </x:c>
      <x:c r="R141" s="44" t="n">
        <x:v>1000092</x:v>
      </x:c>
      <x:c r="S141" s="45" t="n">
        <x:f>VLOOKUP(H141,'Rules and Assumptions'!$A$5:$B$10,2,FALSE)</x:f>
        <x:v>20</x:v>
      </x:c>
      <x:c r="T141" s="45" t="n">
        <x:f>VLOOKUP(E141,'Rules and Assumptions'!$D$5:$F$15,2,FALSE)</x:f>
        <x:v>5</x:v>
      </x:c>
      <x:c r="U141" s="45" t="n">
        <x:f>VLOOKUP(J141,'Rules and Assumptions'!$H$5:$J$9,2,TRUE)</x:f>
        <x:v>15</x:v>
      </x:c>
      <x:c r="V141" s="45" t="n">
        <x:f>IF(D141&lt;&gt;"",4,0)+IF(F141&lt;&gt;"",2,0)+IF(G141&lt;&gt;"",1,0)+IF(L141&lt;&gt;"",2,0)+IF(R141&lt;&gt;"",1,0)</x:f>
        <x:v>10</x:v>
      </x:c>
      <x:c r="W141" s="45" t="n">
        <x:f>VLOOKUP(E141,'Rules and Assumptions'!$D$5:$F$15,3,FALSE)</x:f>
        <x:v>0</x:v>
      </x:c>
      <x:c r="X141" s="45" t="n">
        <x:f>SUM(S141:W141)</x:f>
        <x:v>50</x:v>
      </x:c>
      <x:c r="Y141" s="45" t="n">
        <x:f>RANK.EQ(X141,$X$5:$X$164,0)+COUNTIF($X$5:X141,X141)-1</x:f>
        <x:v>137</x:v>
      </x:c>
      <x:c r="Z141" s="43" t="str">
        <x:f>IF(Y141&lt;='Rules and Assumptions'!$M$5,"High",IF(Y141&lt;='Rules and Assumptions'!$M$6,"Medium","Low"))</x:f>
        <x:v>Low</x:v>
      </x:c>
      <x:c r="AA141" s="43" t="str">
        <x:f>LOWER(TRIM(B141))</x:f>
        <x:v>ghgrp-1000092</x:v>
      </x:c>
      <x:c r="AB141" s="43" t="str">
        <x:f>IF(COUNTIF($AA$5:$AA$164,AA141)&gt;1,"Review","Unique")</x:f>
        <x:v>Unique</x:v>
      </x:c>
      <x:c r="AC141" s="47" t="str">
        <x:v>Generation facility; low end-customer fit, retained for market context and qualification practice.</x:v>
      </x:c>
      <x:c r="AD141" s="46" t="n">
        <x:v>45520</x:v>
      </x:c>
    </x:row>
    <x:row r="142">
      <x:c r="A142" s="41" t="str">
        <x:v>NE-138</x:v>
      </x:c>
      <x:c r="B142" s="41" t="str">
        <x:v>GHGRP-1000658</x:v>
      </x:c>
      <x:c r="C142" s="47" t="str">
        <x:v>Canal Station - Sandwich, MA</x:v>
      </x:c>
      <x:c r="D142" s="47" t="str">
        <x:v>JERA AMERICAS HOLDINGS INC</x:v>
      </x:c>
      <x:c r="E142" s="47" t="str">
        <x:v>Power Plants</x:v>
      </x:c>
      <x:c r="F142" s="41" t="str">
        <x:v>221112</x:v>
      </x:c>
      <x:c r="G142" s="41" t="str">
        <x:v>Sandwich</x:v>
      </x:c>
      <x:c r="H142" s="41" t="str">
        <x:v>MA</x:v>
      </x:c>
      <x:c r="I142" s="41" t="str">
        <x:v>02563</x:v>
      </x:c>
      <x:c r="J142" s="42" t="n">
        <x:v>59860.608</x:v>
      </x:c>
      <x:c r="K142" s="43" t="str">
        <x:f>VLOOKUP(J142,'Rules and Assumptions'!$H$5:$J$9,3,TRUE)</x:f>
        <x:v>Mid Reporting Load</x:v>
      </x:c>
      <x:c r="L142" s="47" t="str">
        <x:v>Plant Manager</x:v>
      </x:c>
      <x:c r="M142" s="47" t="str">
        <x:v>Director of Operations</x:v>
      </x:c>
      <x:c r="N142" s="47" t="str">
        <x:v>Role identified; person not yet verified</x:v>
      </x:c>
      <x:c r="O142" s="47" t="str">
        <x:v>Market Intelligence - Generation</x:v>
      </x:c>
      <x:c r="P142" s="47" t="str">
        <x:v>Sales Rep A - Massachusetts</x:v>
      </x:c>
      <x:c r="Q142" s="47" t="str">
        <x:v>https://www.epa.gov/ghgreporting/data-sets</x:v>
      </x:c>
      <x:c r="R142" s="44" t="n">
        <x:v>1000658</x:v>
      </x:c>
      <x:c r="S142" s="45" t="n">
        <x:f>VLOOKUP(H142,'Rules and Assumptions'!$A$5:$B$10,2,FALSE)</x:f>
        <x:v>20</x:v>
      </x:c>
      <x:c r="T142" s="45" t="n">
        <x:f>VLOOKUP(E142,'Rules and Assumptions'!$D$5:$F$15,2,FALSE)</x:f>
        <x:v>5</x:v>
      </x:c>
      <x:c r="U142" s="45" t="n">
        <x:f>VLOOKUP(J142,'Rules and Assumptions'!$H$5:$J$9,2,TRUE)</x:f>
        <x:v>15</x:v>
      </x:c>
      <x:c r="V142" s="45" t="n">
        <x:f>IF(D142&lt;&gt;"",4,0)+IF(F142&lt;&gt;"",2,0)+IF(G142&lt;&gt;"",1,0)+IF(L142&lt;&gt;"",2,0)+IF(R142&lt;&gt;"",1,0)</x:f>
        <x:v>10</x:v>
      </x:c>
      <x:c r="W142" s="45" t="n">
        <x:f>VLOOKUP(E142,'Rules and Assumptions'!$D$5:$F$15,3,FALSE)</x:f>
        <x:v>0</x:v>
      </x:c>
      <x:c r="X142" s="45" t="n">
        <x:f>SUM(S142:W142)</x:f>
        <x:v>50</x:v>
      </x:c>
      <x:c r="Y142" s="45" t="n">
        <x:f>RANK.EQ(X142,$X$5:$X$164,0)+COUNTIF($X$5:X142,X142)-1</x:f>
        <x:v>138</x:v>
      </x:c>
      <x:c r="Z142" s="43" t="str">
        <x:f>IF(Y142&lt;='Rules and Assumptions'!$M$5,"High",IF(Y142&lt;='Rules and Assumptions'!$M$6,"Medium","Low"))</x:f>
        <x:v>Low</x:v>
      </x:c>
      <x:c r="AA142" s="43" t="str">
        <x:f>LOWER(TRIM(B142))</x:f>
        <x:v>ghgrp-1000658</x:v>
      </x:c>
      <x:c r="AB142" s="43" t="str">
        <x:f>IF(COUNTIF($AA$5:$AA$164,AA142)&gt;1,"Review","Unique")</x:f>
        <x:v>Unique</x:v>
      </x:c>
      <x:c r="AC142" s="47" t="str">
        <x:v>Generation facility; low end-customer fit, retained for market context and qualification practice.</x:v>
      </x:c>
      <x:c r="AD142" s="46" t="n">
        <x:v>45520</x:v>
      </x:c>
    </x:row>
    <x:row r="143">
      <x:c r="A143" s="41" t="str">
        <x:v>NE-139</x:v>
      </x:c>
      <x:c r="B143" s="41" t="str">
        <x:v>GHGRP-1013945</x:v>
      </x:c>
      <x:c r="C143" s="47" t="str">
        <x:v>Bucksport Mill, LLC - Bucksport, ME</x:v>
      </x:c>
      <x:c r="D143" s="47" t="str">
        <x:v>Bucksport Mill, LLC</x:v>
      </x:c>
      <x:c r="E143" s="47" t="str">
        <x:v>Power Plants,Waste</x:v>
      </x:c>
      <x:c r="F143" s="41" t="str">
        <x:v>221112</x:v>
      </x:c>
      <x:c r="G143" s="41" t="str">
        <x:v>Bucksport</x:v>
      </x:c>
      <x:c r="H143" s="41" t="str">
        <x:v>ME</x:v>
      </x:c>
      <x:c r="I143" s="41" t="str">
        <x:v>04416</x:v>
      </x:c>
      <x:c r="J143" s="42" t="n">
        <x:v>50526.625</x:v>
      </x:c>
      <x:c r="K143" s="43" t="str">
        <x:f>VLOOKUP(J143,'Rules and Assumptions'!$H$5:$J$9,3,TRUE)</x:f>
        <x:v>Mid Reporting Load</x:v>
      </x:c>
      <x:c r="L143" s="47" t="str">
        <x:v>Plant Manager</x:v>
      </x:c>
      <x:c r="M143" s="47" t="str">
        <x:v>Director of Operations</x:v>
      </x:c>
      <x:c r="N143" s="47" t="str">
        <x:v>Role identified; person not yet verified</x:v>
      </x:c>
      <x:c r="O143" s="47" t="str">
        <x:v>Market Intelligence - Generation</x:v>
      </x:c>
      <x:c r="P143" s="47" t="str">
        <x:v>Sales Rep C - Northern New England</x:v>
      </x:c>
      <x:c r="Q143" s="47" t="str">
        <x:v>https://www.epa.gov/ghgreporting/data-sets</x:v>
      </x:c>
      <x:c r="R143" s="44" t="n">
        <x:v>1013945</x:v>
      </x:c>
      <x:c r="S143" s="45" t="n">
        <x:f>VLOOKUP(H143,'Rules and Assumptions'!$A$5:$B$10,2,FALSE)</x:f>
        <x:v>12</x:v>
      </x:c>
      <x:c r="T143" s="45" t="n">
        <x:f>VLOOKUP(E143,'Rules and Assumptions'!$D$5:$F$15,2,FALSE)</x:f>
        <x:v>10</x:v>
      </x:c>
      <x:c r="U143" s="45" t="n">
        <x:f>VLOOKUP(J143,'Rules and Assumptions'!$H$5:$J$9,2,TRUE)</x:f>
        <x:v>15</x:v>
      </x:c>
      <x:c r="V143" s="45" t="n">
        <x:f>IF(D143&lt;&gt;"",4,0)+IF(F143&lt;&gt;"",2,0)+IF(G143&lt;&gt;"",1,0)+IF(L143&lt;&gt;"",2,0)+IF(R143&lt;&gt;"",1,0)</x:f>
        <x:v>10</x:v>
      </x:c>
      <x:c r="W143" s="45" t="n">
        <x:f>VLOOKUP(E143,'Rules and Assumptions'!$D$5:$F$15,3,FALSE)</x:f>
        <x:v>3</x:v>
      </x:c>
      <x:c r="X143" s="45" t="n">
        <x:f>SUM(S143:W143)</x:f>
        <x:v>50</x:v>
      </x:c>
      <x:c r="Y143" s="45" t="n">
        <x:f>RANK.EQ(X143,$X$5:$X$164,0)+COUNTIF($X$5:X143,X143)-1</x:f>
        <x:v>139</x:v>
      </x:c>
      <x:c r="Z143" s="43" t="str">
        <x:f>IF(Y143&lt;='Rules and Assumptions'!$M$5,"High",IF(Y143&lt;='Rules and Assumptions'!$M$6,"Medium","Low"))</x:f>
        <x:v>Low</x:v>
      </x:c>
      <x:c r="AA143" s="43" t="str">
        <x:f>LOWER(TRIM(B143))</x:f>
        <x:v>ghgrp-1013945</x:v>
      </x:c>
      <x:c r="AB143" s="43" t="str">
        <x:f>IF(COUNTIF($AA$5:$AA$164,AA143)&gt;1,"Review","Unique")</x:f>
        <x:v>Unique</x:v>
      </x:c>
      <x:c r="AC143" s="47" t="str">
        <x:v>Generation and waste facility; validate load-serving opportunity before outreach.</x:v>
      </x:c>
      <x:c r="AD143" s="46" t="n">
        <x:v>45520</x:v>
      </x:c>
    </x:row>
    <x:row r="144">
      <x:c r="A144" s="41" t="str">
        <x:v>NE-140</x:v>
      </x:c>
      <x:c r="B144" s="41" t="str">
        <x:v>GHGRP-1001312</x:v>
      </x:c>
      <x:c r="C144" s="47" t="str">
        <x:v>Rumford Power LLC - Rumford, ME</x:v>
      </x:c>
      <x:c r="D144" s="47" t="str">
        <x:v>CARLYLE GROUP MANAGEMENT LLC</x:v>
      </x:c>
      <x:c r="E144" s="47" t="str">
        <x:v>Power Plants</x:v>
      </x:c>
      <x:c r="F144" s="41" t="str">
        <x:v>221112</x:v>
      </x:c>
      <x:c r="G144" s="41" t="str">
        <x:v>Rumford</x:v>
      </x:c>
      <x:c r="H144" s="41" t="str">
        <x:v>ME</x:v>
      </x:c>
      <x:c r="I144" s="41" t="str">
        <x:v>04276</x:v>
      </x:c>
      <x:c r="J144" s="42" t="n">
        <x:v>160818.104</x:v>
      </x:c>
      <x:c r="K144" s="43" t="str">
        <x:f>VLOOKUP(J144,'Rules and Assumptions'!$H$5:$J$9,3,TRUE)</x:f>
        <x:v>Large Reporting Load</x:v>
      </x:c>
      <x:c r="L144" s="47" t="str">
        <x:v>Plant Manager</x:v>
      </x:c>
      <x:c r="M144" s="47" t="str">
        <x:v>Director of Operations</x:v>
      </x:c>
      <x:c r="N144" s="47" t="str">
        <x:v>Role identified; person not yet verified</x:v>
      </x:c>
      <x:c r="O144" s="47" t="str">
        <x:v>Market Intelligence - Generation</x:v>
      </x:c>
      <x:c r="P144" s="47" t="str">
        <x:v>Sales Rep C - Northern New England</x:v>
      </x:c>
      <x:c r="Q144" s="47" t="str">
        <x:v>https://www.epa.gov/ghgreporting/data-sets</x:v>
      </x:c>
      <x:c r="R144" s="44" t="n">
        <x:v>1001312</x:v>
      </x:c>
      <x:c r="S144" s="45" t="n">
        <x:f>VLOOKUP(H144,'Rules and Assumptions'!$A$5:$B$10,2,FALSE)</x:f>
        <x:v>12</x:v>
      </x:c>
      <x:c r="T144" s="45" t="n">
        <x:f>VLOOKUP(E144,'Rules and Assumptions'!$D$5:$F$15,2,FALSE)</x:f>
        <x:v>5</x:v>
      </x:c>
      <x:c r="U144" s="45" t="n">
        <x:f>VLOOKUP(J144,'Rules and Assumptions'!$H$5:$J$9,2,TRUE)</x:f>
        <x:v>20</x:v>
      </x:c>
      <x:c r="V144" s="45" t="n">
        <x:f>IF(D144&lt;&gt;"",4,0)+IF(F144&lt;&gt;"",2,0)+IF(G144&lt;&gt;"",1,0)+IF(L144&lt;&gt;"",2,0)+IF(R144&lt;&gt;"",1,0)</x:f>
        <x:v>10</x:v>
      </x:c>
      <x:c r="W144" s="45" t="n">
        <x:f>VLOOKUP(E144,'Rules and Assumptions'!$D$5:$F$15,3,FALSE)</x:f>
        <x:v>0</x:v>
      </x:c>
      <x:c r="X144" s="45" t="n">
        <x:f>SUM(S144:W144)</x:f>
        <x:v>47</x:v>
      </x:c>
      <x:c r="Y144" s="45" t="n">
        <x:f>RANK.EQ(X144,$X$5:$X$164,0)+COUNTIF($X$5:X144,X144)-1</x:f>
        <x:v>140</x:v>
      </x:c>
      <x:c r="Z144" s="43" t="str">
        <x:f>IF(Y144&lt;='Rules and Assumptions'!$M$5,"High",IF(Y144&lt;='Rules and Assumptions'!$M$6,"Medium","Low"))</x:f>
        <x:v>Low</x:v>
      </x:c>
      <x:c r="AA144" s="43" t="str">
        <x:f>LOWER(TRIM(B144))</x:f>
        <x:v>ghgrp-1001312</x:v>
      </x:c>
      <x:c r="AB144" s="43" t="str">
        <x:f>IF(COUNTIF($AA$5:$AA$164,AA144)&gt;1,"Review","Unique")</x:f>
        <x:v>Unique</x:v>
      </x:c>
      <x:c r="AC144" s="47" t="str">
        <x:v>Generation facility; low end-customer fit, retained for market context and qualification practice.</x:v>
      </x:c>
      <x:c r="AD144" s="46" t="n">
        <x:v>45520</x:v>
      </x:c>
    </x:row>
    <x:row r="145">
      <x:c r="A145" s="41" t="str">
        <x:v>NE-141</x:v>
      </x:c>
      <x:c r="B145" s="41" t="str">
        <x:v>GHGRP-1001281</x:v>
      </x:c>
      <x:c r="C145" s="47" t="str">
        <x:v>Pratt &amp; Whitney, East Hartford - East Hartford, CT</x:v>
      </x:c>
      <x:c r="D145" s="47" t="str">
        <x:v>RTX CORP</x:v>
      </x:c>
      <x:c r="E145" s="47" t="str">
        <x:v>Power Plants</x:v>
      </x:c>
      <x:c r="F145" s="41" t="str">
        <x:v>336412</x:v>
      </x:c>
      <x:c r="G145" s="41" t="str">
        <x:v>East Hartford</x:v>
      </x:c>
      <x:c r="H145" s="41" t="str">
        <x:v>CT</x:v>
      </x:c>
      <x:c r="I145" s="41" t="str">
        <x:v>06108</x:v>
      </x:c>
      <x:c r="J145" s="42" t="n">
        <x:v>93595.396</x:v>
      </x:c>
      <x:c r="K145" s="43" t="str">
        <x:f>VLOOKUP(J145,'Rules and Assumptions'!$H$5:$J$9,3,TRUE)</x:f>
        <x:v>Mid Reporting Load</x:v>
      </x:c>
      <x:c r="L145" s="47" t="str">
        <x:v>Plant Manager</x:v>
      </x:c>
      <x:c r="M145" s="47" t="str">
        <x:v>Director of Operations</x:v>
      </x:c>
      <x:c r="N145" s="47" t="str">
        <x:v>Role identified; person not yet verified</x:v>
      </x:c>
      <x:c r="O145" s="47" t="str">
        <x:v>Market Intelligence - Generation</x:v>
      </x:c>
      <x:c r="P145" s="47" t="str">
        <x:v>Sales Rep B - Connecticut/Rhode Island</x:v>
      </x:c>
      <x:c r="Q145" s="47" t="str">
        <x:v>https://www.epa.gov/ghgreporting/data-sets</x:v>
      </x:c>
      <x:c r="R145" s="44" t="n">
        <x:v>1001281</x:v>
      </x:c>
      <x:c r="S145" s="45" t="n">
        <x:f>VLOOKUP(H145,'Rules and Assumptions'!$A$5:$B$10,2,FALSE)</x:f>
        <x:v>16</x:v>
      </x:c>
      <x:c r="T145" s="45" t="n">
        <x:f>VLOOKUP(E145,'Rules and Assumptions'!$D$5:$F$15,2,FALSE)</x:f>
        <x:v>5</x:v>
      </x:c>
      <x:c r="U145" s="45" t="n">
        <x:f>VLOOKUP(J145,'Rules and Assumptions'!$H$5:$J$9,2,TRUE)</x:f>
        <x:v>15</x:v>
      </x:c>
      <x:c r="V145" s="45" t="n">
        <x:f>IF(D145&lt;&gt;"",4,0)+IF(F145&lt;&gt;"",2,0)+IF(G145&lt;&gt;"",1,0)+IF(L145&lt;&gt;"",2,0)+IF(R145&lt;&gt;"",1,0)</x:f>
        <x:v>10</x:v>
      </x:c>
      <x:c r="W145" s="45" t="n">
        <x:f>VLOOKUP(E145,'Rules and Assumptions'!$D$5:$F$15,3,FALSE)</x:f>
        <x:v>0</x:v>
      </x:c>
      <x:c r="X145" s="45" t="n">
        <x:f>SUM(S145:W145)</x:f>
        <x:v>46</x:v>
      </x:c>
      <x:c r="Y145" s="45" t="n">
        <x:f>RANK.EQ(X145,$X$5:$X$164,0)+COUNTIF($X$5:X145,X145)-1</x:f>
        <x:v>141</x:v>
      </x:c>
      <x:c r="Z145" s="43" t="str">
        <x:f>IF(Y145&lt;='Rules and Assumptions'!$M$5,"High",IF(Y145&lt;='Rules and Assumptions'!$M$6,"Medium","Low"))</x:f>
        <x:v>Low</x:v>
      </x:c>
      <x:c r="AA145" s="43" t="str">
        <x:f>LOWER(TRIM(B145))</x:f>
        <x:v>ghgrp-1001281</x:v>
      </x:c>
      <x:c r="AB145" s="43" t="str">
        <x:f>IF(COUNTIF($AA$5:$AA$164,AA145)&gt;1,"Review","Unique")</x:f>
        <x:v>Unique</x:v>
      </x:c>
      <x:c r="AC145" s="47" t="str">
        <x:v>Generation facility; low end-customer fit, retained for market context and qualification practice.</x:v>
      </x:c>
      <x:c r="AD145" s="46" t="n">
        <x:v>45520</x:v>
      </x:c>
    </x:row>
    <x:row r="146">
      <x:c r="A146" s="41" t="str">
        <x:v>NE-142</x:v>
      </x:c>
      <x:c r="B146" s="41" t="str">
        <x:v>GHGRP-1000069</x:v>
      </x:c>
      <x:c r="C146" s="47" t="str">
        <x:v>Wallingford Energy, LLC - Wallingford, CT</x:v>
      </x:c>
      <x:c r="D146" s="47" t="str">
        <x:v>LS Power Development, LLC</x:v>
      </x:c>
      <x:c r="E146" s="47" t="str">
        <x:v>Power Plants</x:v>
      </x:c>
      <x:c r="F146" s="41" t="str">
        <x:v>221112</x:v>
      </x:c>
      <x:c r="G146" s="41" t="str">
        <x:v>Wallingford</x:v>
      </x:c>
      <x:c r="H146" s="41" t="str">
        <x:v>CT</x:v>
      </x:c>
      <x:c r="I146" s="41" t="str">
        <x:v>06460</x:v>
      </x:c>
      <x:c r="J146" s="42" t="n">
        <x:v>91363.26</x:v>
      </x:c>
      <x:c r="K146" s="43" t="str">
        <x:f>VLOOKUP(J146,'Rules and Assumptions'!$H$5:$J$9,3,TRUE)</x:f>
        <x:v>Mid Reporting Load</x:v>
      </x:c>
      <x:c r="L146" s="47" t="str">
        <x:v>Plant Manager</x:v>
      </x:c>
      <x:c r="M146" s="47" t="str">
        <x:v>Director of Operations</x:v>
      </x:c>
      <x:c r="N146" s="47" t="str">
        <x:v>Role identified; person not yet verified</x:v>
      </x:c>
      <x:c r="O146" s="47" t="str">
        <x:v>Market Intelligence - Generation</x:v>
      </x:c>
      <x:c r="P146" s="47" t="str">
        <x:v>Sales Rep B - Connecticut/Rhode Island</x:v>
      </x:c>
      <x:c r="Q146" s="47" t="str">
        <x:v>https://www.epa.gov/ghgreporting/data-sets</x:v>
      </x:c>
      <x:c r="R146" s="44" t="n">
        <x:v>1000069</x:v>
      </x:c>
      <x:c r="S146" s="45" t="n">
        <x:f>VLOOKUP(H146,'Rules and Assumptions'!$A$5:$B$10,2,FALSE)</x:f>
        <x:v>16</x:v>
      </x:c>
      <x:c r="T146" s="45" t="n">
        <x:f>VLOOKUP(E146,'Rules and Assumptions'!$D$5:$F$15,2,FALSE)</x:f>
        <x:v>5</x:v>
      </x:c>
      <x:c r="U146" s="45" t="n">
        <x:f>VLOOKUP(J146,'Rules and Assumptions'!$H$5:$J$9,2,TRUE)</x:f>
        <x:v>15</x:v>
      </x:c>
      <x:c r="V146" s="45" t="n">
        <x:f>IF(D146&lt;&gt;"",4,0)+IF(F146&lt;&gt;"",2,0)+IF(G146&lt;&gt;"",1,0)+IF(L146&lt;&gt;"",2,0)+IF(R146&lt;&gt;"",1,0)</x:f>
        <x:v>10</x:v>
      </x:c>
      <x:c r="W146" s="45" t="n">
        <x:f>VLOOKUP(E146,'Rules and Assumptions'!$D$5:$F$15,3,FALSE)</x:f>
        <x:v>0</x:v>
      </x:c>
      <x:c r="X146" s="45" t="n">
        <x:f>SUM(S146:W146)</x:f>
        <x:v>46</x:v>
      </x:c>
      <x:c r="Y146" s="45" t="n">
        <x:f>RANK.EQ(X146,$X$5:$X$164,0)+COUNTIF($X$5:X146,X146)-1</x:f>
        <x:v>142</x:v>
      </x:c>
      <x:c r="Z146" s="43" t="str">
        <x:f>IF(Y146&lt;='Rules and Assumptions'!$M$5,"High",IF(Y146&lt;='Rules and Assumptions'!$M$6,"Medium","Low"))</x:f>
        <x:v>Low</x:v>
      </x:c>
      <x:c r="AA146" s="43" t="str">
        <x:f>LOWER(TRIM(B146))</x:f>
        <x:v>ghgrp-1000069</x:v>
      </x:c>
      <x:c r="AB146" s="43" t="str">
        <x:f>IF(COUNTIF($AA$5:$AA$164,AA146)&gt;1,"Review","Unique")</x:f>
        <x:v>Unique</x:v>
      </x:c>
      <x:c r="AC146" s="47" t="str">
        <x:v>Generation facility; low end-customer fit, retained for market context and qualification practice.</x:v>
      </x:c>
      <x:c r="AD146" s="46" t="n">
        <x:v>45520</x:v>
      </x:c>
    </x:row>
    <x:row r="147">
      <x:c r="A147" s="41" t="str">
        <x:v>NE-143</x:v>
      </x:c>
      <x:c r="B147" s="41" t="str">
        <x:v>GHGRP-1006409</x:v>
      </x:c>
      <x:c r="C147" s="47" t="str">
        <x:v>Algonquin Power Windsor Locks, LLC - Windsor Locks, CT</x:v>
      </x:c>
      <x:c r="D147" s="47" t="str">
        <x:v>ALGONQUIN POWER WINDSOR LOCKS LLC</x:v>
      </x:c>
      <x:c r="E147" s="47" t="str">
        <x:v>Power Plants</x:v>
      </x:c>
      <x:c r="F147" s="41" t="str">
        <x:v>221112</x:v>
      </x:c>
      <x:c r="G147" s="41" t="str">
        <x:v>Windsor Locks</x:v>
      </x:c>
      <x:c r="H147" s="41" t="str">
        <x:v>CT</x:v>
      </x:c>
      <x:c r="I147" s="41" t="str">
        <x:v>06096</x:v>
      </x:c>
      <x:c r="J147" s="42" t="n">
        <x:v>87637.618</x:v>
      </x:c>
      <x:c r="K147" s="43" t="str">
        <x:f>VLOOKUP(J147,'Rules and Assumptions'!$H$5:$J$9,3,TRUE)</x:f>
        <x:v>Mid Reporting Load</x:v>
      </x:c>
      <x:c r="L147" s="47" t="str">
        <x:v>Plant Manager</x:v>
      </x:c>
      <x:c r="M147" s="47" t="str">
        <x:v>Director of Operations</x:v>
      </x:c>
      <x:c r="N147" s="47" t="str">
        <x:v>Role identified; person not yet verified</x:v>
      </x:c>
      <x:c r="O147" s="47" t="str">
        <x:v>Market Intelligence - Generation</x:v>
      </x:c>
      <x:c r="P147" s="47" t="str">
        <x:v>Sales Rep B - Connecticut/Rhode Island</x:v>
      </x:c>
      <x:c r="Q147" s="47" t="str">
        <x:v>https://www.epa.gov/ghgreporting/data-sets</x:v>
      </x:c>
      <x:c r="R147" s="44" t="n">
        <x:v>1006409</x:v>
      </x:c>
      <x:c r="S147" s="45" t="n">
        <x:f>VLOOKUP(H147,'Rules and Assumptions'!$A$5:$B$10,2,FALSE)</x:f>
        <x:v>16</x:v>
      </x:c>
      <x:c r="T147" s="45" t="n">
        <x:f>VLOOKUP(E147,'Rules and Assumptions'!$D$5:$F$15,2,FALSE)</x:f>
        <x:v>5</x:v>
      </x:c>
      <x:c r="U147" s="45" t="n">
        <x:f>VLOOKUP(J147,'Rules and Assumptions'!$H$5:$J$9,2,TRUE)</x:f>
        <x:v>15</x:v>
      </x:c>
      <x:c r="V147" s="45" t="n">
        <x:f>IF(D147&lt;&gt;"",4,0)+IF(F147&lt;&gt;"",2,0)+IF(G147&lt;&gt;"",1,0)+IF(L147&lt;&gt;"",2,0)+IF(R147&lt;&gt;"",1,0)</x:f>
        <x:v>10</x:v>
      </x:c>
      <x:c r="W147" s="45" t="n">
        <x:f>VLOOKUP(E147,'Rules and Assumptions'!$D$5:$F$15,3,FALSE)</x:f>
        <x:v>0</x:v>
      </x:c>
      <x:c r="X147" s="45" t="n">
        <x:f>SUM(S147:W147)</x:f>
        <x:v>46</x:v>
      </x:c>
      <x:c r="Y147" s="45" t="n">
        <x:f>RANK.EQ(X147,$X$5:$X$164,0)+COUNTIF($X$5:X147,X147)-1</x:f>
        <x:v>143</x:v>
      </x:c>
      <x:c r="Z147" s="43" t="str">
        <x:f>IF(Y147&lt;='Rules and Assumptions'!$M$5,"High",IF(Y147&lt;='Rules and Assumptions'!$M$6,"Medium","Low"))</x:f>
        <x:v>Low</x:v>
      </x:c>
      <x:c r="AA147" s="43" t="str">
        <x:f>LOWER(TRIM(B147))</x:f>
        <x:v>ghgrp-1006409</x:v>
      </x:c>
      <x:c r="AB147" s="43" t="str">
        <x:f>IF(COUNTIF($AA$5:$AA$164,AA147)&gt;1,"Review","Unique")</x:f>
        <x:v>Unique</x:v>
      </x:c>
      <x:c r="AC147" s="47" t="str">
        <x:v>Generation facility; low end-customer fit, retained for market context and qualification practice.</x:v>
      </x:c>
      <x:c r="AD147" s="46" t="n">
        <x:v>45520</x:v>
      </x:c>
    </x:row>
    <x:row r="148">
      <x:c r="A148" s="41" t="str">
        <x:v>NE-144</x:v>
      </x:c>
      <x:c r="B148" s="41" t="str">
        <x:v>GHGRP-1001207</x:v>
      </x:c>
      <x:c r="C148" s="47" t="str">
        <x:v>Bellingham - Bellingham, MA</x:v>
      </x:c>
      <x:c r="D148" s="47" t="str">
        <x:v>NEXTERA ENERGY INC</x:v>
      </x:c>
      <x:c r="E148" s="47" t="str">
        <x:v>Power Plants</x:v>
      </x:c>
      <x:c r="F148" s="41" t="str">
        <x:v>221112</x:v>
      </x:c>
      <x:c r="G148" s="41" t="str">
        <x:v>Bellingham</x:v>
      </x:c>
      <x:c r="H148" s="41" t="str">
        <x:v>MA</x:v>
      </x:c>
      <x:c r="I148" s="41" t="str">
        <x:v>02019</x:v>
      </x:c>
      <x:c r="J148" s="42" t="n">
        <x:v>47720.114</x:v>
      </x:c>
      <x:c r="K148" s="43" t="str">
        <x:f>VLOOKUP(J148,'Rules and Assumptions'!$H$5:$J$9,3,TRUE)</x:f>
        <x:v>Small Reporting Load</x:v>
      </x:c>
      <x:c r="L148" s="47" t="str">
        <x:v>Plant Manager</x:v>
      </x:c>
      <x:c r="M148" s="47" t="str">
        <x:v>Director of Operations</x:v>
      </x:c>
      <x:c r="N148" s="47" t="str">
        <x:v>Role identified; person not yet verified</x:v>
      </x:c>
      <x:c r="O148" s="47" t="str">
        <x:v>Market Intelligence - Generation</x:v>
      </x:c>
      <x:c r="P148" s="47" t="str">
        <x:v>Sales Rep A - Massachusetts</x:v>
      </x:c>
      <x:c r="Q148" s="47" t="str">
        <x:v>https://www.epa.gov/ghgreporting/data-sets</x:v>
      </x:c>
      <x:c r="R148" s="44" t="n">
        <x:v>1001207</x:v>
      </x:c>
      <x:c r="S148" s="45" t="n">
        <x:f>VLOOKUP(H148,'Rules and Assumptions'!$A$5:$B$10,2,FALSE)</x:f>
        <x:v>20</x:v>
      </x:c>
      <x:c r="T148" s="45" t="n">
        <x:f>VLOOKUP(E148,'Rules and Assumptions'!$D$5:$F$15,2,FALSE)</x:f>
        <x:v>5</x:v>
      </x:c>
      <x:c r="U148" s="45" t="n">
        <x:f>VLOOKUP(J148,'Rules and Assumptions'!$H$5:$J$9,2,TRUE)</x:f>
        <x:v>10</x:v>
      </x:c>
      <x:c r="V148" s="45" t="n">
        <x:f>IF(D148&lt;&gt;"",4,0)+IF(F148&lt;&gt;"",2,0)+IF(G148&lt;&gt;"",1,0)+IF(L148&lt;&gt;"",2,0)+IF(R148&lt;&gt;"",1,0)</x:f>
        <x:v>10</x:v>
      </x:c>
      <x:c r="W148" s="45" t="n">
        <x:f>VLOOKUP(E148,'Rules and Assumptions'!$D$5:$F$15,3,FALSE)</x:f>
        <x:v>0</x:v>
      </x:c>
      <x:c r="X148" s="45" t="n">
        <x:f>SUM(S148:W148)</x:f>
        <x:v>45</x:v>
      </x:c>
      <x:c r="Y148" s="45" t="n">
        <x:f>RANK.EQ(X148,$X$5:$X$164,0)+COUNTIF($X$5:X148,X148)-1</x:f>
        <x:v>144</x:v>
      </x:c>
      <x:c r="Z148" s="43" t="str">
        <x:f>IF(Y148&lt;='Rules and Assumptions'!$M$5,"High",IF(Y148&lt;='Rules and Assumptions'!$M$6,"Medium","Low"))</x:f>
        <x:v>Low</x:v>
      </x:c>
      <x:c r="AA148" s="43" t="str">
        <x:f>LOWER(TRIM(B148))</x:f>
        <x:v>ghgrp-1001207</x:v>
      </x:c>
      <x:c r="AB148" s="43" t="str">
        <x:f>IF(COUNTIF($AA$5:$AA$164,AA148)&gt;1,"Review","Unique")</x:f>
        <x:v>Unique</x:v>
      </x:c>
      <x:c r="AC148" s="47" t="str">
        <x:v>Generation facility; low end-customer fit, retained for market context and qualification practice.</x:v>
      </x:c>
      <x:c r="AD148" s="46" t="n">
        <x:v>45520</x:v>
      </x:c>
    </x:row>
    <x:row r="149">
      <x:c r="A149" s="41" t="str">
        <x:v>NE-145</x:v>
      </x:c>
      <x:c r="B149" s="41" t="str">
        <x:v>GHGRP-1000667</x:v>
      </x:c>
      <x:c r="C149" s="47" t="str">
        <x:v>Cleary Flood - Taunton, MA</x:v>
      </x:c>
      <x:c r="D149" s="47" t="str">
        <x:v>TAUNTON MUNICIPAL LIGHTING PLANT</x:v>
      </x:c>
      <x:c r="E149" s="47" t="str">
        <x:v>Power Plants</x:v>
      </x:c>
      <x:c r="F149" s="41" t="str">
        <x:v>221112</x:v>
      </x:c>
      <x:c r="G149" s="41" t="str">
        <x:v>Taunton</x:v>
      </x:c>
      <x:c r="H149" s="41" t="str">
        <x:v>MA</x:v>
      </x:c>
      <x:c r="I149" s="41" t="str">
        <x:v>02780</x:v>
      </x:c>
      <x:c r="J149" s="42" t="n">
        <x:v>31764.358</x:v>
      </x:c>
      <x:c r="K149" s="43" t="str">
        <x:f>VLOOKUP(J149,'Rules and Assumptions'!$H$5:$J$9,3,TRUE)</x:f>
        <x:v>Small Reporting Load</x:v>
      </x:c>
      <x:c r="L149" s="47" t="str">
        <x:v>Plant Manager</x:v>
      </x:c>
      <x:c r="M149" s="47" t="str">
        <x:v>Director of Operations</x:v>
      </x:c>
      <x:c r="N149" s="47" t="str">
        <x:v>Role identified; person not yet verified</x:v>
      </x:c>
      <x:c r="O149" s="47" t="str">
        <x:v>Market Intelligence - Generation</x:v>
      </x:c>
      <x:c r="P149" s="47" t="str">
        <x:v>Sales Rep A - Massachusetts</x:v>
      </x:c>
      <x:c r="Q149" s="47" t="str">
        <x:v>https://www.epa.gov/ghgreporting/data-sets</x:v>
      </x:c>
      <x:c r="R149" s="44" t="n">
        <x:v>1000667</x:v>
      </x:c>
      <x:c r="S149" s="45" t="n">
        <x:f>VLOOKUP(H149,'Rules and Assumptions'!$A$5:$B$10,2,FALSE)</x:f>
        <x:v>20</x:v>
      </x:c>
      <x:c r="T149" s="45" t="n">
        <x:f>VLOOKUP(E149,'Rules and Assumptions'!$D$5:$F$15,2,FALSE)</x:f>
        <x:v>5</x:v>
      </x:c>
      <x:c r="U149" s="45" t="n">
        <x:f>VLOOKUP(J149,'Rules and Assumptions'!$H$5:$J$9,2,TRUE)</x:f>
        <x:v>10</x:v>
      </x:c>
      <x:c r="V149" s="45" t="n">
        <x:f>IF(D149&lt;&gt;"",4,0)+IF(F149&lt;&gt;"",2,0)+IF(G149&lt;&gt;"",1,0)+IF(L149&lt;&gt;"",2,0)+IF(R149&lt;&gt;"",1,0)</x:f>
        <x:v>10</x:v>
      </x:c>
      <x:c r="W149" s="45" t="n">
        <x:f>VLOOKUP(E149,'Rules and Assumptions'!$D$5:$F$15,3,FALSE)</x:f>
        <x:v>0</x:v>
      </x:c>
      <x:c r="X149" s="45" t="n">
        <x:f>SUM(S149:W149)</x:f>
        <x:v>45</x:v>
      </x:c>
      <x:c r="Y149" s="45" t="n">
        <x:f>RANK.EQ(X149,$X$5:$X$164,0)+COUNTIF($X$5:X149,X149)-1</x:f>
        <x:v>145</x:v>
      </x:c>
      <x:c r="Z149" s="43" t="str">
        <x:f>IF(Y149&lt;='Rules and Assumptions'!$M$5,"High",IF(Y149&lt;='Rules and Assumptions'!$M$6,"Medium","Low"))</x:f>
        <x:v>Low</x:v>
      </x:c>
      <x:c r="AA149" s="43" t="str">
        <x:f>LOWER(TRIM(B149))</x:f>
        <x:v>ghgrp-1000667</x:v>
      </x:c>
      <x:c r="AB149" s="43" t="str">
        <x:f>IF(COUNTIF($AA$5:$AA$164,AA149)&gt;1,"Review","Unique")</x:f>
        <x:v>Unique</x:v>
      </x:c>
      <x:c r="AC149" s="47" t="str">
        <x:v>Generation facility; low end-customer fit, retained for market context and qualification practice.</x:v>
      </x:c>
      <x:c r="AD149" s="46" t="n">
        <x:v>45520</x:v>
      </x:c>
    </x:row>
    <x:row r="150">
      <x:c r="A150" s="41" t="str">
        <x:v>NE-146</x:v>
      </x:c>
      <x:c r="B150" s="41" t="str">
        <x:v>GHGRP-1001298</x:v>
      </x:c>
      <x:c r="C150" s="47" t="str">
        <x:v>Berkshire Power - Agawam, MA</x:v>
      </x:c>
      <x:c r="D150" s="47" t="str">
        <x:v>BERKSHIRE POWER CO</x:v>
      </x:c>
      <x:c r="E150" s="47" t="str">
        <x:v>Power Plants</x:v>
      </x:c>
      <x:c r="F150" s="41" t="str">
        <x:v>221112</x:v>
      </x:c>
      <x:c r="G150" s="41" t="str">
        <x:v>Agawam</x:v>
      </x:c>
      <x:c r="H150" s="41" t="str">
        <x:v>MA</x:v>
      </x:c>
      <x:c r="I150" s="41" t="str">
        <x:v>01001</x:v>
      </x:c>
      <x:c r="J150" s="42" t="n">
        <x:v>27806.744</x:v>
      </x:c>
      <x:c r="K150" s="43" t="str">
        <x:f>VLOOKUP(J150,'Rules and Assumptions'!$H$5:$J$9,3,TRUE)</x:f>
        <x:v>Small Reporting Load</x:v>
      </x:c>
      <x:c r="L150" s="47" t="str">
        <x:v>Plant Manager</x:v>
      </x:c>
      <x:c r="M150" s="47" t="str">
        <x:v>Director of Operations</x:v>
      </x:c>
      <x:c r="N150" s="47" t="str">
        <x:v>Role identified; person not yet verified</x:v>
      </x:c>
      <x:c r="O150" s="47" t="str">
        <x:v>Market Intelligence - Generation</x:v>
      </x:c>
      <x:c r="P150" s="47" t="str">
        <x:v>Sales Rep A - Massachusetts</x:v>
      </x:c>
      <x:c r="Q150" s="47" t="str">
        <x:v>https://www.epa.gov/ghgreporting/data-sets</x:v>
      </x:c>
      <x:c r="R150" s="44" t="n">
        <x:v>1001298</x:v>
      </x:c>
      <x:c r="S150" s="45" t="n">
        <x:f>VLOOKUP(H150,'Rules and Assumptions'!$A$5:$B$10,2,FALSE)</x:f>
        <x:v>20</x:v>
      </x:c>
      <x:c r="T150" s="45" t="n">
        <x:f>VLOOKUP(E150,'Rules and Assumptions'!$D$5:$F$15,2,FALSE)</x:f>
        <x:v>5</x:v>
      </x:c>
      <x:c r="U150" s="45" t="n">
        <x:f>VLOOKUP(J150,'Rules and Assumptions'!$H$5:$J$9,2,TRUE)</x:f>
        <x:v>10</x:v>
      </x:c>
      <x:c r="V150" s="45" t="n">
        <x:f>IF(D150&lt;&gt;"",4,0)+IF(F150&lt;&gt;"",2,0)+IF(G150&lt;&gt;"",1,0)+IF(L150&lt;&gt;"",2,0)+IF(R150&lt;&gt;"",1,0)</x:f>
        <x:v>10</x:v>
      </x:c>
      <x:c r="W150" s="45" t="n">
        <x:f>VLOOKUP(E150,'Rules and Assumptions'!$D$5:$F$15,3,FALSE)</x:f>
        <x:v>0</x:v>
      </x:c>
      <x:c r="X150" s="45" t="n">
        <x:f>SUM(S150:W150)</x:f>
        <x:v>45</x:v>
      </x:c>
      <x:c r="Y150" s="45" t="n">
        <x:f>RANK.EQ(X150,$X$5:$X$164,0)+COUNTIF($X$5:X150,X150)-1</x:f>
        <x:v>146</x:v>
      </x:c>
      <x:c r="Z150" s="43" t="str">
        <x:f>IF(Y150&lt;='Rules and Assumptions'!$M$5,"High",IF(Y150&lt;='Rules and Assumptions'!$M$6,"Medium","Low"))</x:f>
        <x:v>Low</x:v>
      </x:c>
      <x:c r="AA150" s="43" t="str">
        <x:f>LOWER(TRIM(B150))</x:f>
        <x:v>ghgrp-1001298</x:v>
      </x:c>
      <x:c r="AB150" s="43" t="str">
        <x:f>IF(COUNTIF($AA$5:$AA$164,AA150)&gt;1,"Review","Unique")</x:f>
        <x:v>Unique</x:v>
      </x:c>
      <x:c r="AC150" s="47" t="str">
        <x:v>Generation facility; low end-customer fit, retained for market context and qualification practice.</x:v>
      </x:c>
      <x:c r="AD150" s="46" t="n">
        <x:v>45520</x:v>
      </x:c>
    </x:row>
    <x:row r="151">
      <x:c r="A151" s="41" t="str">
        <x:v>NE-147</x:v>
      </x:c>
      <x:c r="B151" s="41" t="str">
        <x:v>GHGRP-1000665</x:v>
      </x:c>
      <x:c r="C151" s="47" t="str">
        <x:v>Potter - Braintree, MA</x:v>
      </x:c>
      <x:c r="D151" s="47" t="str">
        <x:v>BRAINTREE ELECTRIC LIGHT DEPARTMENT</x:v>
      </x:c>
      <x:c r="E151" s="47" t="str">
        <x:v>Power Plants</x:v>
      </x:c>
      <x:c r="F151" s="41" t="str">
        <x:v>221112</x:v>
      </x:c>
      <x:c r="G151" s="41" t="str">
        <x:v>Braintree</x:v>
      </x:c>
      <x:c r="H151" s="41" t="str">
        <x:v>MA</x:v>
      </x:c>
      <x:c r="I151" s="41" t="str">
        <x:v>02184</x:v>
      </x:c>
      <x:c r="J151" s="42" t="n">
        <x:v>18346.996</x:v>
      </x:c>
      <x:c r="K151" s="43" t="str">
        <x:f>VLOOKUP(J151,'Rules and Assumptions'!$H$5:$J$9,3,TRUE)</x:f>
        <x:v>Small Reporting Load</x:v>
      </x:c>
      <x:c r="L151" s="47" t="str">
        <x:v>Plant Manager</x:v>
      </x:c>
      <x:c r="M151" s="47" t="str">
        <x:v>Director of Operations</x:v>
      </x:c>
      <x:c r="N151" s="47" t="str">
        <x:v>Role identified; person not yet verified</x:v>
      </x:c>
      <x:c r="O151" s="47" t="str">
        <x:v>Market Intelligence - Generation</x:v>
      </x:c>
      <x:c r="P151" s="47" t="str">
        <x:v>Sales Rep A - Massachusetts</x:v>
      </x:c>
      <x:c r="Q151" s="47" t="str">
        <x:v>https://www.epa.gov/ghgreporting/data-sets</x:v>
      </x:c>
      <x:c r="R151" s="44" t="n">
        <x:v>1000665</x:v>
      </x:c>
      <x:c r="S151" s="45" t="n">
        <x:f>VLOOKUP(H151,'Rules and Assumptions'!$A$5:$B$10,2,FALSE)</x:f>
        <x:v>20</x:v>
      </x:c>
      <x:c r="T151" s="45" t="n">
        <x:f>VLOOKUP(E151,'Rules and Assumptions'!$D$5:$F$15,2,FALSE)</x:f>
        <x:v>5</x:v>
      </x:c>
      <x:c r="U151" s="45" t="n">
        <x:f>VLOOKUP(J151,'Rules and Assumptions'!$H$5:$J$9,2,TRUE)</x:f>
        <x:v>10</x:v>
      </x:c>
      <x:c r="V151" s="45" t="n">
        <x:f>IF(D151&lt;&gt;"",4,0)+IF(F151&lt;&gt;"",2,0)+IF(G151&lt;&gt;"",1,0)+IF(L151&lt;&gt;"",2,0)+IF(R151&lt;&gt;"",1,0)</x:f>
        <x:v>10</x:v>
      </x:c>
      <x:c r="W151" s="45" t="n">
        <x:f>VLOOKUP(E151,'Rules and Assumptions'!$D$5:$F$15,3,FALSE)</x:f>
        <x:v>0</x:v>
      </x:c>
      <x:c r="X151" s="45" t="n">
        <x:f>SUM(S151:W151)</x:f>
        <x:v>45</x:v>
      </x:c>
      <x:c r="Y151" s="45" t="n">
        <x:f>RANK.EQ(X151,$X$5:$X$164,0)+COUNTIF($X$5:X151,X151)-1</x:f>
        <x:v>147</x:v>
      </x:c>
      <x:c r="Z151" s="43" t="str">
        <x:f>IF(Y151&lt;='Rules and Assumptions'!$M$5,"High",IF(Y151&lt;='Rules and Assumptions'!$M$6,"Medium","Low"))</x:f>
        <x:v>Low</x:v>
      </x:c>
      <x:c r="AA151" s="43" t="str">
        <x:f>LOWER(TRIM(B151))</x:f>
        <x:v>ghgrp-1000665</x:v>
      </x:c>
      <x:c r="AB151" s="43" t="str">
        <x:f>IF(COUNTIF($AA$5:$AA$164,AA151)&gt;1,"Review","Unique")</x:f>
        <x:v>Unique</x:v>
      </x:c>
      <x:c r="AC151" s="47" t="str">
        <x:v>Generation facility; low end-customer fit, retained for market context and qualification practice.</x:v>
      </x:c>
      <x:c r="AD151" s="46" t="n">
        <x:v>45520</x:v>
      </x:c>
    </x:row>
    <x:row r="152">
      <x:c r="A152" s="41" t="str">
        <x:v>NE-148</x:v>
      </x:c>
      <x:c r="B152" s="41" t="str">
        <x:v>GHGRP-1009167</x:v>
      </x:c>
      <x:c r="C152" s="47" t="str">
        <x:v>Dartmouth Power - Dartmouth, MA</x:v>
      </x:c>
      <x:c r="D152" s="47" t="str">
        <x:v>SAPPHIRE POWER HOLDINGS LLC</x:v>
      </x:c>
      <x:c r="E152" s="47" t="str">
        <x:v>Power Plants</x:v>
      </x:c>
      <x:c r="F152" s="41" t="str">
        <x:v>221112</x:v>
      </x:c>
      <x:c r="G152" s="41" t="str">
        <x:v>Dartmouth</x:v>
      </x:c>
      <x:c r="H152" s="41" t="str">
        <x:v>MA</x:v>
      </x:c>
      <x:c r="I152" s="41" t="str">
        <x:v>02747</x:v>
      </x:c>
      <x:c r="J152" s="42" t="n">
        <x:v>17607.882</x:v>
      </x:c>
      <x:c r="K152" s="43" t="str">
        <x:f>VLOOKUP(J152,'Rules and Assumptions'!$H$5:$J$9,3,TRUE)</x:f>
        <x:v>Small Reporting Load</x:v>
      </x:c>
      <x:c r="L152" s="47" t="str">
        <x:v>Plant Manager</x:v>
      </x:c>
      <x:c r="M152" s="47" t="str">
        <x:v>Director of Operations</x:v>
      </x:c>
      <x:c r="N152" s="47" t="str">
        <x:v>Role identified; person not yet verified</x:v>
      </x:c>
      <x:c r="O152" s="47" t="str">
        <x:v>Market Intelligence - Generation</x:v>
      </x:c>
      <x:c r="P152" s="47" t="str">
        <x:v>Sales Rep A - Massachusetts</x:v>
      </x:c>
      <x:c r="Q152" s="47" t="str">
        <x:v>https://www.epa.gov/ghgreporting/data-sets</x:v>
      </x:c>
      <x:c r="R152" s="44" t="n">
        <x:v>1009167</x:v>
      </x:c>
      <x:c r="S152" s="45" t="n">
        <x:f>VLOOKUP(H152,'Rules and Assumptions'!$A$5:$B$10,2,FALSE)</x:f>
        <x:v>20</x:v>
      </x:c>
      <x:c r="T152" s="45" t="n">
        <x:f>VLOOKUP(E152,'Rules and Assumptions'!$D$5:$F$15,2,FALSE)</x:f>
        <x:v>5</x:v>
      </x:c>
      <x:c r="U152" s="45" t="n">
        <x:f>VLOOKUP(J152,'Rules and Assumptions'!$H$5:$J$9,2,TRUE)</x:f>
        <x:v>10</x:v>
      </x:c>
      <x:c r="V152" s="45" t="n">
        <x:f>IF(D152&lt;&gt;"",4,0)+IF(F152&lt;&gt;"",2,0)+IF(G152&lt;&gt;"",1,0)+IF(L152&lt;&gt;"",2,0)+IF(R152&lt;&gt;"",1,0)</x:f>
        <x:v>10</x:v>
      </x:c>
      <x:c r="W152" s="45" t="n">
        <x:f>VLOOKUP(E152,'Rules and Assumptions'!$D$5:$F$15,3,FALSE)</x:f>
        <x:v>0</x:v>
      </x:c>
      <x:c r="X152" s="45" t="n">
        <x:f>SUM(S152:W152)</x:f>
        <x:v>45</x:v>
      </x:c>
      <x:c r="Y152" s="45" t="n">
        <x:f>RANK.EQ(X152,$X$5:$X$164,0)+COUNTIF($X$5:X152,X152)-1</x:f>
        <x:v>148</x:v>
      </x:c>
      <x:c r="Z152" s="43" t="str">
        <x:f>IF(Y152&lt;='Rules and Assumptions'!$M$5,"High",IF(Y152&lt;='Rules and Assumptions'!$M$6,"Medium","Low"))</x:f>
        <x:v>Low</x:v>
      </x:c>
      <x:c r="AA152" s="43" t="str">
        <x:f>LOWER(TRIM(B152))</x:f>
        <x:v>ghgrp-1009167</x:v>
      </x:c>
      <x:c r="AB152" s="43" t="str">
        <x:f>IF(COUNTIF($AA$5:$AA$164,AA152)&gt;1,"Review","Unique")</x:f>
        <x:v>Unique</x:v>
      </x:c>
      <x:c r="AC152" s="47" t="str">
        <x:v>Generation facility; low end-customer fit, retained for market context and qualification practice.</x:v>
      </x:c>
      <x:c r="AD152" s="46" t="n">
        <x:v>45520</x:v>
      </x:c>
    </x:row>
    <x:row r="153">
      <x:c r="A153" s="41" t="str">
        <x:v>NE-149</x:v>
      </x:c>
      <x:c r="B153" s="41" t="str">
        <x:v>GHGRP-1001021</x:v>
      </x:c>
      <x:c r="C153" s="47" t="str">
        <x:v>Stony Brook - Ludlow, MA</x:v>
      </x:c>
      <x:c r="D153" s="47" t="str">
        <x:v>MASSACHUSETTS MUNICIPAL WHOLESALE ELECTRIC CO</x:v>
      </x:c>
      <x:c r="E153" s="47" t="str">
        <x:v>Power Plants</x:v>
      </x:c>
      <x:c r="F153" s="41" t="str">
        <x:v>221112</x:v>
      </x:c>
      <x:c r="G153" s="41" t="str">
        <x:v>Ludlow</x:v>
      </x:c>
      <x:c r="H153" s="41" t="str">
        <x:v>MA</x:v>
      </x:c>
      <x:c r="I153" s="41" t="str">
        <x:v>01056</x:v>
      </x:c>
      <x:c r="J153" s="42" t="n">
        <x:v>17081.006</x:v>
      </x:c>
      <x:c r="K153" s="43" t="str">
        <x:f>VLOOKUP(J153,'Rules and Assumptions'!$H$5:$J$9,3,TRUE)</x:f>
        <x:v>Small Reporting Load</x:v>
      </x:c>
      <x:c r="L153" s="47" t="str">
        <x:v>Plant Manager</x:v>
      </x:c>
      <x:c r="M153" s="47" t="str">
        <x:v>Director of Operations</x:v>
      </x:c>
      <x:c r="N153" s="47" t="str">
        <x:v>Role identified; person not yet verified</x:v>
      </x:c>
      <x:c r="O153" s="47" t="str">
        <x:v>Market Intelligence - Generation</x:v>
      </x:c>
      <x:c r="P153" s="47" t="str">
        <x:v>Sales Rep A - Massachusetts</x:v>
      </x:c>
      <x:c r="Q153" s="47" t="str">
        <x:v>https://www.epa.gov/ghgreporting/data-sets</x:v>
      </x:c>
      <x:c r="R153" s="44" t="n">
        <x:v>1001021</x:v>
      </x:c>
      <x:c r="S153" s="45" t="n">
        <x:f>VLOOKUP(H153,'Rules and Assumptions'!$A$5:$B$10,2,FALSE)</x:f>
        <x:v>20</x:v>
      </x:c>
      <x:c r="T153" s="45" t="n">
        <x:f>VLOOKUP(E153,'Rules and Assumptions'!$D$5:$F$15,2,FALSE)</x:f>
        <x:v>5</x:v>
      </x:c>
      <x:c r="U153" s="45" t="n">
        <x:f>VLOOKUP(J153,'Rules and Assumptions'!$H$5:$J$9,2,TRUE)</x:f>
        <x:v>10</x:v>
      </x:c>
      <x:c r="V153" s="45" t="n">
        <x:f>IF(D153&lt;&gt;"",4,0)+IF(F153&lt;&gt;"",2,0)+IF(G153&lt;&gt;"",1,0)+IF(L153&lt;&gt;"",2,0)+IF(R153&lt;&gt;"",1,0)</x:f>
        <x:v>10</x:v>
      </x:c>
      <x:c r="W153" s="45" t="n">
        <x:f>VLOOKUP(E153,'Rules and Assumptions'!$D$5:$F$15,3,FALSE)</x:f>
        <x:v>0</x:v>
      </x:c>
      <x:c r="X153" s="45" t="n">
        <x:f>SUM(S153:W153)</x:f>
        <x:v>45</x:v>
      </x:c>
      <x:c r="Y153" s="45" t="n">
        <x:f>RANK.EQ(X153,$X$5:$X$164,0)+COUNTIF($X$5:X153,X153)-1</x:f>
        <x:v>149</x:v>
      </x:c>
      <x:c r="Z153" s="43" t="str">
        <x:f>IF(Y153&lt;='Rules and Assumptions'!$M$5,"High",IF(Y153&lt;='Rules and Assumptions'!$M$6,"Medium","Low"))</x:f>
        <x:v>Low</x:v>
      </x:c>
      <x:c r="AA153" s="43" t="str">
        <x:f>LOWER(TRIM(B153))</x:f>
        <x:v>ghgrp-1001021</x:v>
      </x:c>
      <x:c r="AB153" s="43" t="str">
        <x:f>IF(COUNTIF($AA$5:$AA$164,AA153)&gt;1,"Review","Unique")</x:f>
        <x:v>Unique</x:v>
      </x:c>
      <x:c r="AC153" s="47" t="str">
        <x:v>Generation facility; low end-customer fit, retained for market context and qualification practice.</x:v>
      </x:c>
      <x:c r="AD153" s="46" t="n">
        <x:v>45520</x:v>
      </x:c>
    </x:row>
    <x:row r="154">
      <x:c r="A154" s="41" t="str">
        <x:v>NE-150</x:v>
      </x:c>
      <x:c r="B154" s="41" t="str">
        <x:v>GHGRP-1005731</x:v>
      </x:c>
      <x:c r="C154" s="47" t="str">
        <x:v>Pittsfield Generating - Pittsfield, MA</x:v>
      </x:c>
      <x:c r="D154" s="47" t="str">
        <x:v>PITTSFIELD GENERATING CO LP</x:v>
      </x:c>
      <x:c r="E154" s="47" t="str">
        <x:v>Power Plants</x:v>
      </x:c>
      <x:c r="F154" s="41" t="str">
        <x:v>221112</x:v>
      </x:c>
      <x:c r="G154" s="41" t="str">
        <x:v>Pittsfield</x:v>
      </x:c>
      <x:c r="H154" s="41" t="str">
        <x:v>MA</x:v>
      </x:c>
      <x:c r="I154" s="41" t="str">
        <x:v>01201</x:v>
      </x:c>
      <x:c r="J154" s="42" t="n">
        <x:v>10630.904</x:v>
      </x:c>
      <x:c r="K154" s="43" t="str">
        <x:f>VLOOKUP(J154,'Rules and Assumptions'!$H$5:$J$9,3,TRUE)</x:f>
        <x:v>Small Reporting Load</x:v>
      </x:c>
      <x:c r="L154" s="47" t="str">
        <x:v>Plant Manager</x:v>
      </x:c>
      <x:c r="M154" s="47" t="str">
        <x:v>Director of Operations</x:v>
      </x:c>
      <x:c r="N154" s="47" t="str">
        <x:v>Role identified; person not yet verified</x:v>
      </x:c>
      <x:c r="O154" s="47" t="str">
        <x:v>Market Intelligence - Generation</x:v>
      </x:c>
      <x:c r="P154" s="47" t="str">
        <x:v>Sales Rep A - Massachusetts</x:v>
      </x:c>
      <x:c r="Q154" s="47" t="str">
        <x:v>https://www.epa.gov/ghgreporting/data-sets</x:v>
      </x:c>
      <x:c r="R154" s="44" t="n">
        <x:v>1005731</x:v>
      </x:c>
      <x:c r="S154" s="45" t="n">
        <x:f>VLOOKUP(H154,'Rules and Assumptions'!$A$5:$B$10,2,FALSE)</x:f>
        <x:v>20</x:v>
      </x:c>
      <x:c r="T154" s="45" t="n">
        <x:f>VLOOKUP(E154,'Rules and Assumptions'!$D$5:$F$15,2,FALSE)</x:f>
        <x:v>5</x:v>
      </x:c>
      <x:c r="U154" s="45" t="n">
        <x:f>VLOOKUP(J154,'Rules and Assumptions'!$H$5:$J$9,2,TRUE)</x:f>
        <x:v>10</x:v>
      </x:c>
      <x:c r="V154" s="45" t="n">
        <x:f>IF(D154&lt;&gt;"",4,0)+IF(F154&lt;&gt;"",2,0)+IF(G154&lt;&gt;"",1,0)+IF(L154&lt;&gt;"",2,0)+IF(R154&lt;&gt;"",1,0)</x:f>
        <x:v>10</x:v>
      </x:c>
      <x:c r="W154" s="45" t="n">
        <x:f>VLOOKUP(E154,'Rules and Assumptions'!$D$5:$F$15,3,FALSE)</x:f>
        <x:v>0</x:v>
      </x:c>
      <x:c r="X154" s="45" t="n">
        <x:f>SUM(S154:W154)</x:f>
        <x:v>45</x:v>
      </x:c>
      <x:c r="Y154" s="45" t="n">
        <x:f>RANK.EQ(X154,$X$5:$X$164,0)+COUNTIF($X$5:X154,X154)-1</x:f>
        <x:v>150</x:v>
      </x:c>
      <x:c r="Z154" s="43" t="str">
        <x:f>IF(Y154&lt;='Rules and Assumptions'!$M$5,"High",IF(Y154&lt;='Rules and Assumptions'!$M$6,"Medium","Low"))</x:f>
        <x:v>Low</x:v>
      </x:c>
      <x:c r="AA154" s="43" t="str">
        <x:f>LOWER(TRIM(B154))</x:f>
        <x:v>ghgrp-1005731</x:v>
      </x:c>
      <x:c r="AB154" s="43" t="str">
        <x:f>IF(COUNTIF($AA$5:$AA$164,AA154)&gt;1,"Review","Unique")</x:f>
        <x:v>Unique</x:v>
      </x:c>
      <x:c r="AC154" s="47" t="str">
        <x:v>Generation facility; low end-customer fit, retained for market context and qualification practice.</x:v>
      </x:c>
      <x:c r="AD154" s="46" t="n">
        <x:v>45520</x:v>
      </x:c>
    </x:row>
    <x:row r="155">
      <x:c r="A155" s="41" t="str">
        <x:v>NE-151</x:v>
      </x:c>
      <x:c r="B155" s="41" t="str">
        <x:v>GHGRP-1001296</x:v>
      </x:c>
      <x:c r="C155" s="47" t="str">
        <x:v>JGT2 Cogen - Jay, ME</x:v>
      </x:c>
      <x:c r="D155" s="47" t="str">
        <x:v>PIXELLE SPECIALTY SOLUTIONS LLC</x:v>
      </x:c>
      <x:c r="E155" s="47" t="str">
        <x:v>Power Plants</x:v>
      </x:c>
      <x:c r="F155" s="41" t="str">
        <x:v>221112</x:v>
      </x:c>
      <x:c r="G155" s="41" t="str">
        <x:v>Jay</x:v>
      </x:c>
      <x:c r="H155" s="41" t="str">
        <x:v>ME</x:v>
      </x:c>
      <x:c r="I155" s="41" t="str">
        <x:v>04239</x:v>
      </x:c>
      <x:c r="J155" s="42" t="n">
        <x:v>56678.95</x:v>
      </x:c>
      <x:c r="K155" s="43" t="str">
        <x:f>VLOOKUP(J155,'Rules and Assumptions'!$H$5:$J$9,3,TRUE)</x:f>
        <x:v>Mid Reporting Load</x:v>
      </x:c>
      <x:c r="L155" s="47" t="str">
        <x:v>Plant Manager</x:v>
      </x:c>
      <x:c r="M155" s="47" t="str">
        <x:v>Director of Operations</x:v>
      </x:c>
      <x:c r="N155" s="47" t="str">
        <x:v>Role identified; person not yet verified</x:v>
      </x:c>
      <x:c r="O155" s="47" t="str">
        <x:v>Market Intelligence - Generation</x:v>
      </x:c>
      <x:c r="P155" s="47" t="str">
        <x:v>Sales Rep C - Northern New England</x:v>
      </x:c>
      <x:c r="Q155" s="47" t="str">
        <x:v>https://www.epa.gov/ghgreporting/data-sets</x:v>
      </x:c>
      <x:c r="R155" s="44" t="n">
        <x:v>1001296</x:v>
      </x:c>
      <x:c r="S155" s="45" t="n">
        <x:f>VLOOKUP(H155,'Rules and Assumptions'!$A$5:$B$10,2,FALSE)</x:f>
        <x:v>12</x:v>
      </x:c>
      <x:c r="T155" s="45" t="n">
        <x:f>VLOOKUP(E155,'Rules and Assumptions'!$D$5:$F$15,2,FALSE)</x:f>
        <x:v>5</x:v>
      </x:c>
      <x:c r="U155" s="45" t="n">
        <x:f>VLOOKUP(J155,'Rules and Assumptions'!$H$5:$J$9,2,TRUE)</x:f>
        <x:v>15</x:v>
      </x:c>
      <x:c r="V155" s="45" t="n">
        <x:f>IF(D155&lt;&gt;"",4,0)+IF(F155&lt;&gt;"",2,0)+IF(G155&lt;&gt;"",1,0)+IF(L155&lt;&gt;"",2,0)+IF(R155&lt;&gt;"",1,0)</x:f>
        <x:v>10</x:v>
      </x:c>
      <x:c r="W155" s="45" t="n">
        <x:f>VLOOKUP(E155,'Rules and Assumptions'!$D$5:$F$15,3,FALSE)</x:f>
        <x:v>0</x:v>
      </x:c>
      <x:c r="X155" s="45" t="n">
        <x:f>SUM(S155:W155)</x:f>
        <x:v>42</x:v>
      </x:c>
      <x:c r="Y155" s="45" t="n">
        <x:f>RANK.EQ(X155,$X$5:$X$164,0)+COUNTIF($X$5:X155,X155)-1</x:f>
        <x:v>151</x:v>
      </x:c>
      <x:c r="Z155" s="43" t="str">
        <x:f>IF(Y155&lt;='Rules and Assumptions'!$M$5,"High",IF(Y155&lt;='Rules and Assumptions'!$M$6,"Medium","Low"))</x:f>
        <x:v>Low</x:v>
      </x:c>
      <x:c r="AA155" s="43" t="str">
        <x:f>LOWER(TRIM(B155))</x:f>
        <x:v>ghgrp-1001296</x:v>
      </x:c>
      <x:c r="AB155" s="43" t="str">
        <x:f>IF(COUNTIF($AA$5:$AA$164,AA155)&gt;1,"Review","Unique")</x:f>
        <x:v>Unique</x:v>
      </x:c>
      <x:c r="AC155" s="47" t="str">
        <x:v>Generation facility; low end-customer fit, retained for market context and qualification practice.</x:v>
      </x:c>
      <x:c r="AD155" s="46" t="n">
        <x:v>45520</x:v>
      </x:c>
    </x:row>
    <x:row r="156">
      <x:c r="A156" s="41" t="str">
        <x:v>NE-152</x:v>
      </x:c>
      <x:c r="B156" s="41" t="str">
        <x:v>GHGRP-1001615</x:v>
      </x:c>
      <x:c r="C156" s="47" t="str">
        <x:v>William F Wyman - Yarmouth, ME</x:v>
      </x:c>
      <x:c r="D156" s="47" t="str">
        <x:v>NEXTERA ENERGY INC</x:v>
      </x:c>
      <x:c r="E156" s="47" t="str">
        <x:v>Power Plants</x:v>
      </x:c>
      <x:c r="F156" s="41" t="str">
        <x:v>221112</x:v>
      </x:c>
      <x:c r="G156" s="41" t="str">
        <x:v>Yarmouth</x:v>
      </x:c>
      <x:c r="H156" s="41" t="str">
        <x:v>ME</x:v>
      </x:c>
      <x:c r="I156" s="41" t="str">
        <x:v>04096</x:v>
      </x:c>
      <x:c r="J156" s="42" t="n">
        <x:v>52726.078</x:v>
      </x:c>
      <x:c r="K156" s="43" t="str">
        <x:f>VLOOKUP(J156,'Rules and Assumptions'!$H$5:$J$9,3,TRUE)</x:f>
        <x:v>Mid Reporting Load</x:v>
      </x:c>
      <x:c r="L156" s="47" t="str">
        <x:v>Plant Manager</x:v>
      </x:c>
      <x:c r="M156" s="47" t="str">
        <x:v>Director of Operations</x:v>
      </x:c>
      <x:c r="N156" s="47" t="str">
        <x:v>Role identified; person not yet verified</x:v>
      </x:c>
      <x:c r="O156" s="47" t="str">
        <x:v>Market Intelligence - Generation</x:v>
      </x:c>
      <x:c r="P156" s="47" t="str">
        <x:v>Sales Rep C - Northern New England</x:v>
      </x:c>
      <x:c r="Q156" s="47" t="str">
        <x:v>https://www.epa.gov/ghgreporting/data-sets</x:v>
      </x:c>
      <x:c r="R156" s="44" t="n">
        <x:v>1001615</x:v>
      </x:c>
      <x:c r="S156" s="45" t="n">
        <x:f>VLOOKUP(H156,'Rules and Assumptions'!$A$5:$B$10,2,FALSE)</x:f>
        <x:v>12</x:v>
      </x:c>
      <x:c r="T156" s="45" t="n">
        <x:f>VLOOKUP(E156,'Rules and Assumptions'!$D$5:$F$15,2,FALSE)</x:f>
        <x:v>5</x:v>
      </x:c>
      <x:c r="U156" s="45" t="n">
        <x:f>VLOOKUP(J156,'Rules and Assumptions'!$H$5:$J$9,2,TRUE)</x:f>
        <x:v>15</x:v>
      </x:c>
      <x:c r="V156" s="45" t="n">
        <x:f>IF(D156&lt;&gt;"",4,0)+IF(F156&lt;&gt;"",2,0)+IF(G156&lt;&gt;"",1,0)+IF(L156&lt;&gt;"",2,0)+IF(R156&lt;&gt;"",1,0)</x:f>
        <x:v>10</x:v>
      </x:c>
      <x:c r="W156" s="45" t="n">
        <x:f>VLOOKUP(E156,'Rules and Assumptions'!$D$5:$F$15,3,FALSE)</x:f>
        <x:v>0</x:v>
      </x:c>
      <x:c r="X156" s="45" t="n">
        <x:f>SUM(S156:W156)</x:f>
        <x:v>42</x:v>
      </x:c>
      <x:c r="Y156" s="45" t="n">
        <x:f>RANK.EQ(X156,$X$5:$X$164,0)+COUNTIF($X$5:X156,X156)-1</x:f>
        <x:v>152</x:v>
      </x:c>
      <x:c r="Z156" s="43" t="str">
        <x:f>IF(Y156&lt;='Rules and Assumptions'!$M$5,"High",IF(Y156&lt;='Rules and Assumptions'!$M$6,"Medium","Low"))</x:f>
        <x:v>Low</x:v>
      </x:c>
      <x:c r="AA156" s="43" t="str">
        <x:f>LOWER(TRIM(B156))</x:f>
        <x:v>ghgrp-1001615</x:v>
      </x:c>
      <x:c r="AB156" s="43" t="str">
        <x:f>IF(COUNTIF($AA$5:$AA$164,AA156)&gt;1,"Review","Unique")</x:f>
        <x:v>Unique</x:v>
      </x:c>
      <x:c r="AC156" s="47" t="str">
        <x:v>Generation facility; low end-customer fit, retained for market context and qualification practice.</x:v>
      </x:c>
      <x:c r="AD156" s="46" t="n">
        <x:v>45520</x:v>
      </x:c>
    </x:row>
    <x:row r="157">
      <x:c r="A157" s="41" t="str">
        <x:v>NE-153</x:v>
      </x:c>
      <x:c r="B157" s="41" t="str">
        <x:v>GHGRP-1001181</x:v>
      </x:c>
      <x:c r="C157" s="47" t="str">
        <x:v>Newington - Newington, NH</x:v>
      </x:c>
      <x:c r="D157" s="47" t="str">
        <x:v>GRANITE SHORE POWER LLC</x:v>
      </x:c>
      <x:c r="E157" s="47" t="str">
        <x:v>Power Plants</x:v>
      </x:c>
      <x:c r="F157" s="41" t="str">
        <x:v>221112</x:v>
      </x:c>
      <x:c r="G157" s="41" t="str">
        <x:v>Newington</x:v>
      </x:c>
      <x:c r="H157" s="41" t="str">
        <x:v>NH</x:v>
      </x:c>
      <x:c r="I157" s="41" t="str">
        <x:v>03801</x:v>
      </x:c>
      <x:c r="J157" s="42" t="n">
        <x:v>48367.93</x:v>
      </x:c>
      <x:c r="K157" s="43" t="str">
        <x:f>VLOOKUP(J157,'Rules and Assumptions'!$H$5:$J$9,3,TRUE)</x:f>
        <x:v>Small Reporting Load</x:v>
      </x:c>
      <x:c r="L157" s="47" t="str">
        <x:v>Plant Manager</x:v>
      </x:c>
      <x:c r="M157" s="47" t="str">
        <x:v>Director of Operations</x:v>
      </x:c>
      <x:c r="N157" s="47" t="str">
        <x:v>Role identified; person not yet verified</x:v>
      </x:c>
      <x:c r="O157" s="47" t="str">
        <x:v>Market Intelligence - Generation</x:v>
      </x:c>
      <x:c r="P157" s="47" t="str">
        <x:v>Sales Rep C - Northern New England</x:v>
      </x:c>
      <x:c r="Q157" s="47" t="str">
        <x:v>https://www.epa.gov/ghgreporting/data-sets</x:v>
      </x:c>
      <x:c r="R157" s="44" t="n">
        <x:v>1001181</x:v>
      </x:c>
      <x:c r="S157" s="45" t="n">
        <x:f>VLOOKUP(H157,'Rules and Assumptions'!$A$5:$B$10,2,FALSE)</x:f>
        <x:v>16</x:v>
      </x:c>
      <x:c r="T157" s="45" t="n">
        <x:f>VLOOKUP(E157,'Rules and Assumptions'!$D$5:$F$15,2,FALSE)</x:f>
        <x:v>5</x:v>
      </x:c>
      <x:c r="U157" s="45" t="n">
        <x:f>VLOOKUP(J157,'Rules and Assumptions'!$H$5:$J$9,2,TRUE)</x:f>
        <x:v>10</x:v>
      </x:c>
      <x:c r="V157" s="45" t="n">
        <x:f>IF(D157&lt;&gt;"",4,0)+IF(F157&lt;&gt;"",2,0)+IF(G157&lt;&gt;"",1,0)+IF(L157&lt;&gt;"",2,0)+IF(R157&lt;&gt;"",1,0)</x:f>
        <x:v>10</x:v>
      </x:c>
      <x:c r="W157" s="45" t="n">
        <x:f>VLOOKUP(E157,'Rules and Assumptions'!$D$5:$F$15,3,FALSE)</x:f>
        <x:v>0</x:v>
      </x:c>
      <x:c r="X157" s="45" t="n">
        <x:f>SUM(S157:W157)</x:f>
        <x:v>41</x:v>
      </x:c>
      <x:c r="Y157" s="45" t="n">
        <x:f>RANK.EQ(X157,$X$5:$X$164,0)+COUNTIF($X$5:X157,X157)-1</x:f>
        <x:v>153</x:v>
      </x:c>
      <x:c r="Z157" s="43" t="str">
        <x:f>IF(Y157&lt;='Rules and Assumptions'!$M$5,"High",IF(Y157&lt;='Rules and Assumptions'!$M$6,"Medium","Low"))</x:f>
        <x:v>Low</x:v>
      </x:c>
      <x:c r="AA157" s="43" t="str">
        <x:f>LOWER(TRIM(B157))</x:f>
        <x:v>ghgrp-1001181</x:v>
      </x:c>
      <x:c r="AB157" s="43" t="str">
        <x:f>IF(COUNTIF($AA$5:$AA$164,AA157)&gt;1,"Review","Unique")</x:f>
        <x:v>Unique</x:v>
      </x:c>
      <x:c r="AC157" s="47" t="str">
        <x:v>Generation facility; low end-customer fit, retained for market context and qualification practice.</x:v>
      </x:c>
      <x:c r="AD157" s="46" t="n">
        <x:v>45520</x:v>
      </x:c>
    </x:row>
    <x:row r="158">
      <x:c r="A158" s="41" t="str">
        <x:v>NE-154</x:v>
      </x:c>
      <x:c r="B158" s="41" t="str">
        <x:v>GHGRP-1010343</x:v>
      </x:c>
      <x:c r="C158" s="47" t="str">
        <x:v>Hartford Hospital Cogeneration Facility - Hartford, CT</x:v>
      </x:c>
      <x:c r="D158" s="47" t="str">
        <x:v>CARTIER ENERGY LLC</x:v>
      </x:c>
      <x:c r="E158" s="47" t="str">
        <x:v>Power Plants</x:v>
      </x:c>
      <x:c r="F158" s="41" t="str">
        <x:v>221330</x:v>
      </x:c>
      <x:c r="G158" s="41" t="str">
        <x:v>Hartford</x:v>
      </x:c>
      <x:c r="H158" s="41" t="str">
        <x:v>CT</x:v>
      </x:c>
      <x:c r="I158" s="41" t="str">
        <x:v>06106</x:v>
      </x:c>
      <x:c r="J158" s="42" t="n">
        <x:v>39790.698</x:v>
      </x:c>
      <x:c r="K158" s="43" t="str">
        <x:f>VLOOKUP(J158,'Rules and Assumptions'!$H$5:$J$9,3,TRUE)</x:f>
        <x:v>Small Reporting Load</x:v>
      </x:c>
      <x:c r="L158" s="47" t="str">
        <x:v>Plant Manager</x:v>
      </x:c>
      <x:c r="M158" s="47" t="str">
        <x:v>Director of Operations</x:v>
      </x:c>
      <x:c r="N158" s="47" t="str">
        <x:v>Role identified; person not yet verified</x:v>
      </x:c>
      <x:c r="O158" s="47" t="str">
        <x:v>Market Intelligence - Generation</x:v>
      </x:c>
      <x:c r="P158" s="47" t="str">
        <x:v>Sales Rep B - Connecticut/Rhode Island</x:v>
      </x:c>
      <x:c r="Q158" s="47" t="str">
        <x:v>https://www.epa.gov/ghgreporting/data-sets</x:v>
      </x:c>
      <x:c r="R158" s="44" t="n">
        <x:v>1010343</x:v>
      </x:c>
      <x:c r="S158" s="45" t="n">
        <x:f>VLOOKUP(H158,'Rules and Assumptions'!$A$5:$B$10,2,FALSE)</x:f>
        <x:v>16</x:v>
      </x:c>
      <x:c r="T158" s="45" t="n">
        <x:f>VLOOKUP(E158,'Rules and Assumptions'!$D$5:$F$15,2,FALSE)</x:f>
        <x:v>5</x:v>
      </x:c>
      <x:c r="U158" s="45" t="n">
        <x:f>VLOOKUP(J158,'Rules and Assumptions'!$H$5:$J$9,2,TRUE)</x:f>
        <x:v>10</x:v>
      </x:c>
      <x:c r="V158" s="45" t="n">
        <x:f>IF(D158&lt;&gt;"",4,0)+IF(F158&lt;&gt;"",2,0)+IF(G158&lt;&gt;"",1,0)+IF(L158&lt;&gt;"",2,0)+IF(R158&lt;&gt;"",1,0)</x:f>
        <x:v>10</x:v>
      </x:c>
      <x:c r="W158" s="45" t="n">
        <x:f>VLOOKUP(E158,'Rules and Assumptions'!$D$5:$F$15,3,FALSE)</x:f>
        <x:v>0</x:v>
      </x:c>
      <x:c r="X158" s="45" t="n">
        <x:f>SUM(S158:W158)</x:f>
        <x:v>41</x:v>
      </x:c>
      <x:c r="Y158" s="45" t="n">
        <x:f>RANK.EQ(X158,$X$5:$X$164,0)+COUNTIF($X$5:X158,X158)-1</x:f>
        <x:v>154</x:v>
      </x:c>
      <x:c r="Z158" s="43" t="str">
        <x:f>IF(Y158&lt;='Rules and Assumptions'!$M$5,"High",IF(Y158&lt;='Rules and Assumptions'!$M$6,"Medium","Low"))</x:f>
        <x:v>Low</x:v>
      </x:c>
      <x:c r="AA158" s="43" t="str">
        <x:f>LOWER(TRIM(B158))</x:f>
        <x:v>ghgrp-1010343</x:v>
      </x:c>
      <x:c r="AB158" s="43" t="str">
        <x:f>IF(COUNTIF($AA$5:$AA$164,AA158)&gt;1,"Review","Unique")</x:f>
        <x:v>Unique</x:v>
      </x:c>
      <x:c r="AC158" s="47" t="str">
        <x:v>Generation facility; low end-customer fit, retained for market context and qualification practice.</x:v>
      </x:c>
      <x:c r="AD158" s="46" t="n">
        <x:v>45520</x:v>
      </x:c>
    </x:row>
    <x:row r="159">
      <x:c r="A159" s="41" t="str">
        <x:v>NE-155</x:v>
      </x:c>
      <x:c r="B159" s="41" t="str">
        <x:v>GHGRP-1001469</x:v>
      </x:c>
      <x:c r="C159" s="47" t="str">
        <x:v>Montville - Uncasville, CT</x:v>
      </x:c>
      <x:c r="D159" s="47" t="str">
        <x:v>ARCLIGHT ENERGY PARTNERS FUND VII LP</x:v>
      </x:c>
      <x:c r="E159" s="47" t="str">
        <x:v>Power Plants</x:v>
      </x:c>
      <x:c r="F159" s="41" t="str">
        <x:v>221112</x:v>
      </x:c>
      <x:c r="G159" s="41" t="str">
        <x:v>Uncasville</x:v>
      </x:c>
      <x:c r="H159" s="41" t="str">
        <x:v>CT</x:v>
      </x:c>
      <x:c r="I159" s="41" t="str">
        <x:v>06382</x:v>
      </x:c>
      <x:c r="J159" s="42" t="n">
        <x:v>38782.476</x:v>
      </x:c>
      <x:c r="K159" s="43" t="str">
        <x:f>VLOOKUP(J159,'Rules and Assumptions'!$H$5:$J$9,3,TRUE)</x:f>
        <x:v>Small Reporting Load</x:v>
      </x:c>
      <x:c r="L159" s="47" t="str">
        <x:v>Plant Manager</x:v>
      </x:c>
      <x:c r="M159" s="47" t="str">
        <x:v>Director of Operations</x:v>
      </x:c>
      <x:c r="N159" s="47" t="str">
        <x:v>Role identified; person not yet verified</x:v>
      </x:c>
      <x:c r="O159" s="47" t="str">
        <x:v>Market Intelligence - Generation</x:v>
      </x:c>
      <x:c r="P159" s="47" t="str">
        <x:v>Sales Rep B - Connecticut/Rhode Island</x:v>
      </x:c>
      <x:c r="Q159" s="47" t="str">
        <x:v>https://www.epa.gov/ghgreporting/data-sets</x:v>
      </x:c>
      <x:c r="R159" s="44" t="n">
        <x:v>1001469</x:v>
      </x:c>
      <x:c r="S159" s="45" t="n">
        <x:f>VLOOKUP(H159,'Rules and Assumptions'!$A$5:$B$10,2,FALSE)</x:f>
        <x:v>16</x:v>
      </x:c>
      <x:c r="T159" s="45" t="n">
        <x:f>VLOOKUP(E159,'Rules and Assumptions'!$D$5:$F$15,2,FALSE)</x:f>
        <x:v>5</x:v>
      </x:c>
      <x:c r="U159" s="45" t="n">
        <x:f>VLOOKUP(J159,'Rules and Assumptions'!$H$5:$J$9,2,TRUE)</x:f>
        <x:v>10</x:v>
      </x:c>
      <x:c r="V159" s="45" t="n">
        <x:f>IF(D159&lt;&gt;"",4,0)+IF(F159&lt;&gt;"",2,0)+IF(G159&lt;&gt;"",1,0)+IF(L159&lt;&gt;"",2,0)+IF(R159&lt;&gt;"",1,0)</x:f>
        <x:v>10</x:v>
      </x:c>
      <x:c r="W159" s="45" t="n">
        <x:f>VLOOKUP(E159,'Rules and Assumptions'!$D$5:$F$15,3,FALSE)</x:f>
        <x:v>0</x:v>
      </x:c>
      <x:c r="X159" s="45" t="n">
        <x:f>SUM(S159:W159)</x:f>
        <x:v>41</x:v>
      </x:c>
      <x:c r="Y159" s="45" t="n">
        <x:f>RANK.EQ(X159,$X$5:$X$164,0)+COUNTIF($X$5:X159,X159)-1</x:f>
        <x:v>155</x:v>
      </x:c>
      <x:c r="Z159" s="43" t="str">
        <x:f>IF(Y159&lt;='Rules and Assumptions'!$M$5,"High",IF(Y159&lt;='Rules and Assumptions'!$M$6,"Medium","Low"))</x:f>
        <x:v>Low</x:v>
      </x:c>
      <x:c r="AA159" s="43" t="str">
        <x:f>LOWER(TRIM(B159))</x:f>
        <x:v>ghgrp-1001469</x:v>
      </x:c>
      <x:c r="AB159" s="43" t="str">
        <x:f>IF(COUNTIF($AA$5:$AA$164,AA159)&gt;1,"Review","Unique")</x:f>
        <x:v>Unique</x:v>
      </x:c>
      <x:c r="AC159" s="47" t="str">
        <x:v>Generation facility; low end-customer fit, retained for market context and qualification practice.</x:v>
      </x:c>
      <x:c r="AD159" s="46" t="n">
        <x:v>45520</x:v>
      </x:c>
    </x:row>
    <x:row r="160">
      <x:c r="A160" s="41" t="str">
        <x:v>NE-156</x:v>
      </x:c>
      <x:c r="B160" s="41" t="str">
        <x:v>GHGRP-1010109</x:v>
      </x:c>
      <x:c r="C160" s="47" t="str">
        <x:v>Hartford Steam - Columbus Plant - Hartford, CT</x:v>
      </x:c>
      <x:c r="D160" s="47" t="str">
        <x:v>CARTIER ENERGY LLC</x:v>
      </x:c>
      <x:c r="E160" s="47" t="str">
        <x:v>Power Plants</x:v>
      </x:c>
      <x:c r="F160" s="41" t="str">
        <x:v>221330</x:v>
      </x:c>
      <x:c r="G160" s="41" t="str">
        <x:v>Hartford</x:v>
      </x:c>
      <x:c r="H160" s="41" t="str">
        <x:v>CT</x:v>
      </x:c>
      <x:c r="I160" s="41" t="str">
        <x:v>06103</x:v>
      </x:c>
      <x:c r="J160" s="42" t="n">
        <x:v>31798.18</x:v>
      </x:c>
      <x:c r="K160" s="43" t="str">
        <x:f>VLOOKUP(J160,'Rules and Assumptions'!$H$5:$J$9,3,TRUE)</x:f>
        <x:v>Small Reporting Load</x:v>
      </x:c>
      <x:c r="L160" s="47" t="str">
        <x:v>Plant Manager</x:v>
      </x:c>
      <x:c r="M160" s="47" t="str">
        <x:v>Director of Operations</x:v>
      </x:c>
      <x:c r="N160" s="47" t="str">
        <x:v>Role identified; person not yet verified</x:v>
      </x:c>
      <x:c r="O160" s="47" t="str">
        <x:v>Market Intelligence - Generation</x:v>
      </x:c>
      <x:c r="P160" s="47" t="str">
        <x:v>Sales Rep B - Connecticut/Rhode Island</x:v>
      </x:c>
      <x:c r="Q160" s="47" t="str">
        <x:v>https://www.epa.gov/ghgreporting/data-sets</x:v>
      </x:c>
      <x:c r="R160" s="44" t="n">
        <x:v>1010109</x:v>
      </x:c>
      <x:c r="S160" s="45" t="n">
        <x:f>VLOOKUP(H160,'Rules and Assumptions'!$A$5:$B$10,2,FALSE)</x:f>
        <x:v>16</x:v>
      </x:c>
      <x:c r="T160" s="45" t="n">
        <x:f>VLOOKUP(E160,'Rules and Assumptions'!$D$5:$F$15,2,FALSE)</x:f>
        <x:v>5</x:v>
      </x:c>
      <x:c r="U160" s="45" t="n">
        <x:f>VLOOKUP(J160,'Rules and Assumptions'!$H$5:$J$9,2,TRUE)</x:f>
        <x:v>10</x:v>
      </x:c>
      <x:c r="V160" s="45" t="n">
        <x:f>IF(D160&lt;&gt;"",4,0)+IF(F160&lt;&gt;"",2,0)+IF(G160&lt;&gt;"",1,0)+IF(L160&lt;&gt;"",2,0)+IF(R160&lt;&gt;"",1,0)</x:f>
        <x:v>10</x:v>
      </x:c>
      <x:c r="W160" s="45" t="n">
        <x:f>VLOOKUP(E160,'Rules and Assumptions'!$D$5:$F$15,3,FALSE)</x:f>
        <x:v>0</x:v>
      </x:c>
      <x:c r="X160" s="45" t="n">
        <x:f>SUM(S160:W160)</x:f>
        <x:v>41</x:v>
      </x:c>
      <x:c r="Y160" s="45" t="n">
        <x:f>RANK.EQ(X160,$X$5:$X$164,0)+COUNTIF($X$5:X160,X160)-1</x:f>
        <x:v>156</x:v>
      </x:c>
      <x:c r="Z160" s="43" t="str">
        <x:f>IF(Y160&lt;='Rules and Assumptions'!$M$5,"High",IF(Y160&lt;='Rules and Assumptions'!$M$6,"Medium","Low"))</x:f>
        <x:v>Low</x:v>
      </x:c>
      <x:c r="AA160" s="43" t="str">
        <x:f>LOWER(TRIM(B160))</x:f>
        <x:v>ghgrp-1010109</x:v>
      </x:c>
      <x:c r="AB160" s="43" t="str">
        <x:f>IF(COUNTIF($AA$5:$AA$164,AA160)&gt;1,"Review","Unique")</x:f>
        <x:v>Unique</x:v>
      </x:c>
      <x:c r="AC160" s="47" t="str">
        <x:v>Generation facility; low end-customer fit, retained for market context and qualification practice.</x:v>
      </x:c>
      <x:c r="AD160" s="46" t="n">
        <x:v>45520</x:v>
      </x:c>
    </x:row>
    <x:row r="161">
      <x:c r="A161" s="41" t="str">
        <x:v>NE-157</x:v>
      </x:c>
      <x:c r="B161" s="41" t="str">
        <x:v>GHGRP-1005996</x:v>
      </x:c>
      <x:c r="C161" s="47" t="str">
        <x:v>New Haven Harbor Station - New Haven, CT</x:v>
      </x:c>
      <x:c r="D161" s="47" t="str">
        <x:v>ARCLIGHT ENERGY PARTNERS FUND VII LP</x:v>
      </x:c>
      <x:c r="E161" s="47" t="str">
        <x:v>Power Plants</x:v>
      </x:c>
      <x:c r="F161" s="41" t="str">
        <x:v>221112</x:v>
      </x:c>
      <x:c r="G161" s="41" t="str">
        <x:v>New Haven</x:v>
      </x:c>
      <x:c r="H161" s="41" t="str">
        <x:v>CT</x:v>
      </x:c>
      <x:c r="I161" s="41" t="str">
        <x:v>06512</x:v>
      </x:c>
      <x:c r="J161" s="42" t="n">
        <x:v>28840.559</x:v>
      </x:c>
      <x:c r="K161" s="43" t="str">
        <x:f>VLOOKUP(J161,'Rules and Assumptions'!$H$5:$J$9,3,TRUE)</x:f>
        <x:v>Small Reporting Load</x:v>
      </x:c>
      <x:c r="L161" s="47" t="str">
        <x:v>Plant Manager</x:v>
      </x:c>
      <x:c r="M161" s="47" t="str">
        <x:v>Director of Operations</x:v>
      </x:c>
      <x:c r="N161" s="47" t="str">
        <x:v>Role identified; person not yet verified</x:v>
      </x:c>
      <x:c r="O161" s="47" t="str">
        <x:v>Market Intelligence - Generation</x:v>
      </x:c>
      <x:c r="P161" s="47" t="str">
        <x:v>Sales Rep B - Connecticut/Rhode Island</x:v>
      </x:c>
      <x:c r="Q161" s="47" t="str">
        <x:v>https://www.epa.gov/ghgreporting/data-sets</x:v>
      </x:c>
      <x:c r="R161" s="44" t="n">
        <x:v>1005996</x:v>
      </x:c>
      <x:c r="S161" s="45" t="n">
        <x:f>VLOOKUP(H161,'Rules and Assumptions'!$A$5:$B$10,2,FALSE)</x:f>
        <x:v>16</x:v>
      </x:c>
      <x:c r="T161" s="45" t="n">
        <x:f>VLOOKUP(E161,'Rules and Assumptions'!$D$5:$F$15,2,FALSE)</x:f>
        <x:v>5</x:v>
      </x:c>
      <x:c r="U161" s="45" t="n">
        <x:f>VLOOKUP(J161,'Rules and Assumptions'!$H$5:$J$9,2,TRUE)</x:f>
        <x:v>10</x:v>
      </x:c>
      <x:c r="V161" s="45" t="n">
        <x:f>IF(D161&lt;&gt;"",4,0)+IF(F161&lt;&gt;"",2,0)+IF(G161&lt;&gt;"",1,0)+IF(L161&lt;&gt;"",2,0)+IF(R161&lt;&gt;"",1,0)</x:f>
        <x:v>10</x:v>
      </x:c>
      <x:c r="W161" s="45" t="n">
        <x:f>VLOOKUP(E161,'Rules and Assumptions'!$D$5:$F$15,3,FALSE)</x:f>
        <x:v>0</x:v>
      </x:c>
      <x:c r="X161" s="45" t="n">
        <x:f>SUM(S161:W161)</x:f>
        <x:v>41</x:v>
      </x:c>
      <x:c r="Y161" s="45" t="n">
        <x:f>RANK.EQ(X161,$X$5:$X$164,0)+COUNTIF($X$5:X161,X161)-1</x:f>
        <x:v>157</x:v>
      </x:c>
      <x:c r="Z161" s="43" t="str">
        <x:f>IF(Y161&lt;='Rules and Assumptions'!$M$5,"High",IF(Y161&lt;='Rules and Assumptions'!$M$6,"Medium","Low"))</x:f>
        <x:v>Low</x:v>
      </x:c>
      <x:c r="AA161" s="43" t="str">
        <x:f>LOWER(TRIM(B161))</x:f>
        <x:v>ghgrp-1005996</x:v>
      </x:c>
      <x:c r="AB161" s="43" t="str">
        <x:f>IF(COUNTIF($AA$5:$AA$164,AA161)&gt;1,"Review","Unique")</x:f>
        <x:v>Unique</x:v>
      </x:c>
      <x:c r="AC161" s="47" t="str">
        <x:v>Generation facility; low end-customer fit, retained for market context and qualification practice.</x:v>
      </x:c>
      <x:c r="AD161" s="46" t="n">
        <x:v>45520</x:v>
      </x:c>
    </x:row>
    <x:row r="162">
      <x:c r="A162" s="41" t="str">
        <x:v>NE-158</x:v>
      </x:c>
      <x:c r="B162" s="41" t="str">
        <x:v>GHGRP-1000538</x:v>
      </x:c>
      <x:c r="C162" s="47" t="str">
        <x:v>Waterbury Generation - Waterbury, CT</x:v>
      </x:c>
      <x:c r="D162" s="47" t="str">
        <x:v>MPH WATERBURY LLC</x:v>
      </x:c>
      <x:c r="E162" s="47" t="str">
        <x:v>Power Plants</x:v>
      </x:c>
      <x:c r="F162" s="41" t="str">
        <x:v>221112</x:v>
      </x:c>
      <x:c r="G162" s="41" t="str">
        <x:v>Waterbury</x:v>
      </x:c>
      <x:c r="H162" s="41" t="str">
        <x:v>CT</x:v>
      </x:c>
      <x:c r="I162" s="41" t="str">
        <x:v>06708</x:v>
      </x:c>
      <x:c r="J162" s="42" t="n">
        <x:v>21363.17</x:v>
      </x:c>
      <x:c r="K162" s="43" t="str">
        <x:f>VLOOKUP(J162,'Rules and Assumptions'!$H$5:$J$9,3,TRUE)</x:f>
        <x:v>Small Reporting Load</x:v>
      </x:c>
      <x:c r="L162" s="47" t="str">
        <x:v>Plant Manager</x:v>
      </x:c>
      <x:c r="M162" s="47" t="str">
        <x:v>Director of Operations</x:v>
      </x:c>
      <x:c r="N162" s="47" t="str">
        <x:v>Role identified; person not yet verified</x:v>
      </x:c>
      <x:c r="O162" s="47" t="str">
        <x:v>Market Intelligence - Generation</x:v>
      </x:c>
      <x:c r="P162" s="47" t="str">
        <x:v>Sales Rep B - Connecticut/Rhode Island</x:v>
      </x:c>
      <x:c r="Q162" s="47" t="str">
        <x:v>https://www.epa.gov/ghgreporting/data-sets</x:v>
      </x:c>
      <x:c r="R162" s="44" t="n">
        <x:v>1000538</x:v>
      </x:c>
      <x:c r="S162" s="45" t="n">
        <x:f>VLOOKUP(H162,'Rules and Assumptions'!$A$5:$B$10,2,FALSE)</x:f>
        <x:v>16</x:v>
      </x:c>
      <x:c r="T162" s="45" t="n">
        <x:f>VLOOKUP(E162,'Rules and Assumptions'!$D$5:$F$15,2,FALSE)</x:f>
        <x:v>5</x:v>
      </x:c>
      <x:c r="U162" s="45" t="n">
        <x:f>VLOOKUP(J162,'Rules and Assumptions'!$H$5:$J$9,2,TRUE)</x:f>
        <x:v>10</x:v>
      </x:c>
      <x:c r="V162" s="45" t="n">
        <x:f>IF(D162&lt;&gt;"",4,0)+IF(F162&lt;&gt;"",2,0)+IF(G162&lt;&gt;"",1,0)+IF(L162&lt;&gt;"",2,0)+IF(R162&lt;&gt;"",1,0)</x:f>
        <x:v>10</x:v>
      </x:c>
      <x:c r="W162" s="45" t="n">
        <x:f>VLOOKUP(E162,'Rules and Assumptions'!$D$5:$F$15,3,FALSE)</x:f>
        <x:v>0</x:v>
      </x:c>
      <x:c r="X162" s="45" t="n">
        <x:f>SUM(S162:W162)</x:f>
        <x:v>41</x:v>
      </x:c>
      <x:c r="Y162" s="45" t="n">
        <x:f>RANK.EQ(X162,$X$5:$X$164,0)+COUNTIF($X$5:X162,X162)-1</x:f>
        <x:v>158</x:v>
      </x:c>
      <x:c r="Z162" s="43" t="str">
        <x:f>IF(Y162&lt;='Rules and Assumptions'!$M$5,"High",IF(Y162&lt;='Rules and Assumptions'!$M$6,"Medium","Low"))</x:f>
        <x:v>Low</x:v>
      </x:c>
      <x:c r="AA162" s="43" t="str">
        <x:f>LOWER(TRIM(B162))</x:f>
        <x:v>ghgrp-1000538</x:v>
      </x:c>
      <x:c r="AB162" s="43" t="str">
        <x:f>IF(COUNTIF($AA$5:$AA$164,AA162)&gt;1,"Review","Unique")</x:f>
        <x:v>Unique</x:v>
      </x:c>
      <x:c r="AC162" s="47" t="str">
        <x:v>Generation facility; low end-customer fit, retained for market context and qualification practice.</x:v>
      </x:c>
      <x:c r="AD162" s="46" t="n">
        <x:v>45520</x:v>
      </x:c>
    </x:row>
    <x:row r="163">
      <x:c r="A163" s="41" t="str">
        <x:v>NE-159</x:v>
      </x:c>
      <x:c r="B163" s="41" t="str">
        <x:v>GHGRP-1000730</x:v>
      </x:c>
      <x:c r="C163" s="47" t="str">
        <x:v>Schiller - Portsmouth, NH</x:v>
      </x:c>
      <x:c r="D163" s="47" t="str">
        <x:v>GRANITE SHORE POWER LLC</x:v>
      </x:c>
      <x:c r="E163" s="47" t="str">
        <x:v>Power Plants</x:v>
      </x:c>
      <x:c r="F163" s="41" t="str">
        <x:v>221112</x:v>
      </x:c>
      <x:c r="G163" s="41" t="str">
        <x:v>Portsmouth</x:v>
      </x:c>
      <x:c r="H163" s="41" t="str">
        <x:v>NH</x:v>
      </x:c>
      <x:c r="I163" s="41" t="str">
        <x:v>03801</x:v>
      </x:c>
      <x:c r="J163" s="42" t="n">
        <x:v>687.738</x:v>
      </x:c>
      <x:c r="K163" s="43" t="str">
        <x:f>VLOOKUP(J163,'Rules and Assumptions'!$H$5:$J$9,3,TRUE)</x:f>
        <x:v>Small Reporting Load</x:v>
      </x:c>
      <x:c r="L163" s="47" t="str">
        <x:v>Plant Manager</x:v>
      </x:c>
      <x:c r="M163" s="47" t="str">
        <x:v>Director of Operations</x:v>
      </x:c>
      <x:c r="N163" s="47" t="str">
        <x:v>Role identified; person not yet verified</x:v>
      </x:c>
      <x:c r="O163" s="47" t="str">
        <x:v>Market Intelligence - Generation</x:v>
      </x:c>
      <x:c r="P163" s="47" t="str">
        <x:v>Sales Rep C - Northern New England</x:v>
      </x:c>
      <x:c r="Q163" s="47" t="str">
        <x:v>https://www.epa.gov/ghgreporting/data-sets</x:v>
      </x:c>
      <x:c r="R163" s="44" t="n">
        <x:v>1000730</x:v>
      </x:c>
      <x:c r="S163" s="45" t="n">
        <x:f>VLOOKUP(H163,'Rules and Assumptions'!$A$5:$B$10,2,FALSE)</x:f>
        <x:v>16</x:v>
      </x:c>
      <x:c r="T163" s="45" t="n">
        <x:f>VLOOKUP(E163,'Rules and Assumptions'!$D$5:$F$15,2,FALSE)</x:f>
        <x:v>5</x:v>
      </x:c>
      <x:c r="U163" s="45" t="n">
        <x:f>VLOOKUP(J163,'Rules and Assumptions'!$H$5:$J$9,2,TRUE)</x:f>
        <x:v>10</x:v>
      </x:c>
      <x:c r="V163" s="45" t="n">
        <x:f>IF(D163&lt;&gt;"",4,0)+IF(F163&lt;&gt;"",2,0)+IF(G163&lt;&gt;"",1,0)+IF(L163&lt;&gt;"",2,0)+IF(R163&lt;&gt;"",1,0)</x:f>
        <x:v>10</x:v>
      </x:c>
      <x:c r="W163" s="45" t="n">
        <x:f>VLOOKUP(E163,'Rules and Assumptions'!$D$5:$F$15,3,FALSE)</x:f>
        <x:v>0</x:v>
      </x:c>
      <x:c r="X163" s="45" t="n">
        <x:f>SUM(S163:W163)</x:f>
        <x:v>41</x:v>
      </x:c>
      <x:c r="Y163" s="45" t="n">
        <x:f>RANK.EQ(X163,$X$5:$X$164,0)+COUNTIF($X$5:X163,X163)-1</x:f>
        <x:v>159</x:v>
      </x:c>
      <x:c r="Z163" s="43" t="str">
        <x:f>IF(Y163&lt;='Rules and Assumptions'!$M$5,"High",IF(Y163&lt;='Rules and Assumptions'!$M$6,"Medium","Low"))</x:f>
        <x:v>Low</x:v>
      </x:c>
      <x:c r="AA163" s="43" t="str">
        <x:f>LOWER(TRIM(B163))</x:f>
        <x:v>ghgrp-1000730</x:v>
      </x:c>
      <x:c r="AB163" s="43" t="str">
        <x:f>IF(COUNTIF($AA$5:$AA$164,AA163)&gt;1,"Review","Unique")</x:f>
        <x:v>Unique</x:v>
      </x:c>
      <x:c r="AC163" s="47" t="str">
        <x:v>Generation facility; low end-customer fit, retained for market context and qualification practice.</x:v>
      </x:c>
      <x:c r="AD163" s="46" t="n">
        <x:v>45520</x:v>
      </x:c>
    </x:row>
    <x:row r="164">
      <x:c r="A164" s="41" t="str">
        <x:v>NE-160</x:v>
      </x:c>
      <x:c r="B164" s="41" t="str">
        <x:v>GHGRP-1006174</x:v>
      </x:c>
      <x:c r="C164" s="47" t="str">
        <x:v>BUCKSPORT GENERATION LLC - Bucksport, ME</x:v>
      </x:c>
      <x:c r="D164" s="47" t="str">
        <x:v>AIM Development USA LLC</x:v>
      </x:c>
      <x:c r="E164" s="47" t="str">
        <x:v>Power Plants</x:v>
      </x:c>
      <x:c r="F164" s="41" t="str">
        <x:v>221112</x:v>
      </x:c>
      <x:c r="G164" s="41" t="str">
        <x:v>Bucksport</x:v>
      </x:c>
      <x:c r="H164" s="41" t="str">
        <x:v>ME</x:v>
      </x:c>
      <x:c r="I164" s="41" t="str">
        <x:v>04416</x:v>
      </x:c>
      <x:c r="J164" s="42" t="n">
        <x:v>9333.708</x:v>
      </x:c>
      <x:c r="K164" s="43" t="str">
        <x:f>VLOOKUP(J164,'Rules and Assumptions'!$H$5:$J$9,3,TRUE)</x:f>
        <x:v>Small Reporting Load</x:v>
      </x:c>
      <x:c r="L164" s="47" t="str">
        <x:v>Plant Manager</x:v>
      </x:c>
      <x:c r="M164" s="47" t="str">
        <x:v>Director of Operations</x:v>
      </x:c>
      <x:c r="N164" s="47" t="str">
        <x:v>Role identified; person not yet verified</x:v>
      </x:c>
      <x:c r="O164" s="47" t="str">
        <x:v>Market Intelligence - Generation</x:v>
      </x:c>
      <x:c r="P164" s="47" t="str">
        <x:v>Sales Rep C - Northern New England</x:v>
      </x:c>
      <x:c r="Q164" s="47" t="str">
        <x:v>https://www.epa.gov/ghgreporting/data-sets</x:v>
      </x:c>
      <x:c r="R164" s="44" t="n">
        <x:v>1006174</x:v>
      </x:c>
      <x:c r="S164" s="45" t="n">
        <x:f>VLOOKUP(H164,'Rules and Assumptions'!$A$5:$B$10,2,FALSE)</x:f>
        <x:v>12</x:v>
      </x:c>
      <x:c r="T164" s="45" t="n">
        <x:f>VLOOKUP(E164,'Rules and Assumptions'!$D$5:$F$15,2,FALSE)</x:f>
        <x:v>5</x:v>
      </x:c>
      <x:c r="U164" s="45" t="n">
        <x:f>VLOOKUP(J164,'Rules and Assumptions'!$H$5:$J$9,2,TRUE)</x:f>
        <x:v>10</x:v>
      </x:c>
      <x:c r="V164" s="45" t="n">
        <x:f>IF(D164&lt;&gt;"",4,0)+IF(F164&lt;&gt;"",2,0)+IF(G164&lt;&gt;"",1,0)+IF(L164&lt;&gt;"",2,0)+IF(R164&lt;&gt;"",1,0)</x:f>
        <x:v>10</x:v>
      </x:c>
      <x:c r="W164" s="45" t="n">
        <x:f>VLOOKUP(E164,'Rules and Assumptions'!$D$5:$F$15,3,FALSE)</x:f>
        <x:v>0</x:v>
      </x:c>
      <x:c r="X164" s="45" t="n">
        <x:f>SUM(S164:W164)</x:f>
        <x:v>37</x:v>
      </x:c>
      <x:c r="Y164" s="45" t="n">
        <x:f>RANK.EQ(X164,$X$5:$X$164,0)+COUNTIF($X$5:X164,X164)-1</x:f>
        <x:v>160</x:v>
      </x:c>
      <x:c r="Z164" s="43" t="str">
        <x:f>IF(Y164&lt;='Rules and Assumptions'!$M$5,"High",IF(Y164&lt;='Rules and Assumptions'!$M$6,"Medium","Low"))</x:f>
        <x:v>Low</x:v>
      </x:c>
      <x:c r="AA164" s="43" t="str">
        <x:f>LOWER(TRIM(B164))</x:f>
        <x:v>ghgrp-1006174</x:v>
      </x:c>
      <x:c r="AB164" s="43" t="str">
        <x:f>IF(COUNTIF($AA$5:$AA$164,AA164)&gt;1,"Review","Unique")</x:f>
        <x:v>Unique</x:v>
      </x:c>
      <x:c r="AC164" s="47" t="str">
        <x:v>Generation facility; low end-customer fit, retained for market context and qualification practice.</x:v>
      </x:c>
      <x:c r="AD164" s="46" t="n">
        <x:v>45520</x:v>
      </x:c>
    </x:row>
  </x:sheetData>
  <x:mergeCells>
    <x:mergeCell ref="A1:AD1"/>
    <x:mergeCell ref="A2:AD2"/>
  </x:mergeCells>
  <x:conditionalFormatting sqref="X5:X164">
    <x:cfRule type="colorScale" priority="1">
      <x:colorScale>
        <x:cfvo type="min"/>
        <x:cfvo type="percentile" val="50"/>
        <x:cfvo type="max"/>
        <x:color rgb="FFFCE8E6"/>
        <x:color rgb="FFFFF4D6"/>
        <x:color rgb="FFE6F4EA"/>
      </x:colorScale>
    </x:cfRule>
  </x:conditionalFormatting>
  <x:conditionalFormatting sqref="Z5:Z164">
    <x:cfRule type="containsText" dxfId="0" priority="2" operator="containsText" text="High"/>
    <x:cfRule type="containsText" dxfId="1" priority="3" operator="containsText" text="Medium"/>
  </x:conditionalFormatting>
  <x:conditionalFormatting sqref="AB5:AB164">
    <x:cfRule type="containsText" dxfId="2" priority="4" operator="containsText" text="Review"/>
  </x:conditionalFormatting>
  <x:dataValidations count="1">
    <x:dataValidation type="list" sqref="P5:P164">
      <x:formula1>"Sales Rep A - Massachusetts,Sales Rep B - Connecticut/Rhode Island,Sales Rep C - Northern New England"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cb46f620034f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44" hidden="0" customWidth="1"/>
    <x:col min="4" max="4" width="31" hidden="0" customWidth="1"/>
    <x:col min="5" max="5" width="9" hidden="0" customWidth="1"/>
    <x:col min="6" max="6" width="24" hidden="0" customWidth="1"/>
    <x:col min="7" max="7" width="12" hidden="0" customWidth="1"/>
    <x:col min="8" max="8" width="25" hidden="0" customWidth="1"/>
    <x:col min="9" max="9" width="28" hidden="0" customWidth="1"/>
    <x:col min="10" max="10" width="31" hidden="0" customWidth="1"/>
  </x:cols>
  <x:sheetData>
    <x:row r="1" ht="30" customHeight="1">
      <x:c r="A1" s="3" t="str">
        <x:v>High-Priority Campaign List</x:v>
      </x:c>
      <x:c r="B1" s="3" t="str">
        <x:v>High-Priority Campaign List</x:v>
      </x:c>
      <x:c r="C1" s="3" t="str">
        <x:v>High-Priority Campaign List</x:v>
      </x:c>
      <x:c r="D1" s="3" t="str">
        <x:v>High-Priority Campaign List</x:v>
      </x:c>
      <x:c r="E1" s="3" t="str">
        <x:v>High-Priority Campaign List</x:v>
      </x:c>
      <x:c r="F1" s="3" t="str">
        <x:v>High-Priority Campaign List</x:v>
      </x:c>
      <x:c r="G1" s="3" t="str">
        <x:v>High-Priority Campaign List</x:v>
      </x:c>
      <x:c r="H1" s="3" t="str">
        <x:v>High-Priority Campaign List</x:v>
      </x:c>
      <x:c r="I1" s="3" t="str">
        <x:v>High-Priority Campaign List</x:v>
      </x:c>
      <x:c r="J1" s="3" t="str">
        <x:v>High-Priority Campaign List</x:v>
      </x:c>
    </x:row>
    <x:row r="2" ht="28" customHeight="1">
      <x:c r="A2" s="7" t="str">
        <x:v>Top 30 accounts, formula-linked to Prospect Scoring. Individual contact research remains intentionally blank in the companion CSV queue.</x:v>
      </x:c>
      <x:c r="B2" s="7" t="str">
        <x:v>Top 30 accounts, formula-linked to Prospect Scoring. Individual contact research remains intentionally blank in the companion CSV queue.</x:v>
      </x:c>
      <x:c r="C2" s="7" t="str">
        <x:v>Top 30 accounts, formula-linked to Prospect Scoring. Individual contact research remains intentionally blank in the companion CSV queue.</x:v>
      </x:c>
      <x:c r="D2" s="7" t="str">
        <x:v>Top 30 accounts, formula-linked to Prospect Scoring. Individual contact research remains intentionally blank in the companion CSV queue.</x:v>
      </x:c>
      <x:c r="E2" s="7" t="str">
        <x:v>Top 30 accounts, formula-linked to Prospect Scoring. Individual contact research remains intentionally blank in the companion CSV queue.</x:v>
      </x:c>
      <x:c r="F2" s="7" t="str">
        <x:v>Top 30 accounts, formula-linked to Prospect Scoring. Individual contact research remains intentionally blank in the companion CSV queue.</x:v>
      </x:c>
      <x:c r="G2" s="7" t="str">
        <x:v>Top 30 accounts, formula-linked to Prospect Scoring. Individual contact research remains intentionally blank in the companion CSV queue.</x:v>
      </x:c>
      <x:c r="H2" s="7" t="str">
        <x:v>Top 30 accounts, formula-linked to Prospect Scoring. Individual contact research remains intentionally blank in the companion CSV queue.</x:v>
      </x:c>
      <x:c r="I2" s="7" t="str">
        <x:v>Top 30 accounts, formula-linked to Prospect Scoring. Individual contact research remains intentionally blank in the companion CSV queue.</x:v>
      </x:c>
      <x:c r="J2" s="7" t="str">
        <x:v>Top 30 accounts, formula-linked to Prospect Scoring. Individual contact research remains intentionally blank in the companion CSV queue.</x:v>
      </x:c>
    </x:row>
    <x:row r="4" ht="32" customHeight="1">
      <x:c r="A4" s="13" t="str">
        <x:v>Rank</x:v>
      </x:c>
      <x:c r="B4" s="13" t="str">
        <x:v>Prospect ID</x:v>
      </x:c>
      <x:c r="C4" s="13" t="str">
        <x:v>Account Name</x:v>
      </x:c>
      <x:c r="D4" s="13" t="str">
        <x:v>Parent Company</x:v>
      </x:c>
      <x:c r="E4" s="13" t="str">
        <x:v>State</x:v>
      </x:c>
      <x:c r="F4" s="13" t="str">
        <x:v>Industry Sector</x:v>
      </x:c>
      <x:c r="G4" s="13" t="str">
        <x:v>Lead Score</x:v>
      </x:c>
      <x:c r="H4" s="13" t="str">
        <x:v>Target Role</x:v>
      </x:c>
      <x:c r="I4" s="13" t="str">
        <x:v>Campaign Segment</x:v>
      </x:c>
      <x:c r="J4" s="13" t="str">
        <x:v>Suggested Owner</x:v>
      </x:c>
    </x:row>
    <x:row r="5">
      <x:c r="A5" s="49" t="n">
        <x:v>1</x:v>
      </x:c>
      <x:c r="B5" s="49" t="str">
        <x:f>INDEX('Prospect Scoring'!$A$5:$A$164,MATCH($A5,'Prospect Scoring'!$Y$5:$Y$164,0))</x:f>
        <x:v>NE-001</x:v>
      </x:c>
      <x:c r="C5" s="50" t="str">
        <x:f>INDEX('Prospect Scoring'!$C$5:$C$164,MATCH($A5,'Prospect Scoring'!$Y$5:$Y$164,0))</x:f>
        <x:v>ND Paper Inc - Rumford Division - Rumford, ME</x:v>
      </x:c>
      <x:c r="D5" s="50" t="str">
        <x:f>INDEX('Prospect Scoring'!$D$5:$D$164,MATCH($A5,'Prospect Scoring'!$Y$5:$Y$164,0))</x:f>
        <x:v>ND PAPER LLC</x:v>
      </x:c>
      <x:c r="E5" s="50" t="str">
        <x:f>INDEX('Prospect Scoring'!$H$5:$H$164,MATCH($A5,'Prospect Scoring'!$Y$5:$Y$164,0))</x:f>
        <x:v>ME</x:v>
      </x:c>
      <x:c r="F5" s="50" t="str">
        <x:f>INDEX('Prospect Scoring'!$E$5:$E$164,MATCH($A5,'Prospect Scoring'!$Y$5:$Y$164,0))</x:f>
        <x:v>Pulp and Paper</x:v>
      </x:c>
      <x:c r="G5" s="51" t="n">
        <x:f>INDEX('Prospect Scoring'!$X$5:$X$164,MATCH($A5,'Prospect Scoring'!$Y$5:$Y$164,0))</x:f>
        <x:v>87</x:v>
      </x:c>
      <x:c r="H5" s="50" t="str">
        <x:f>INDEX('Prospect Scoring'!$L$5:$L$164,MATCH($A5,'Prospect Scoring'!$Y$5:$Y$164,0))</x:f>
        <x:v>Energy Manager</x:v>
      </x:c>
      <x:c r="I5" s="50" t="str">
        <x:f>INDEX('Prospect Scoring'!$O$5:$O$164,MATCH($A5,'Prospect Scoring'!$Y$5:$Y$164,0))</x:f>
        <x:v>Industrial High-Load</x:v>
      </x:c>
      <x:c r="J5" s="50" t="str">
        <x:f>INDEX('Prospect Scoring'!$P$5:$P$164,MATCH($A5,'Prospect Scoring'!$Y$5:$Y$164,0))</x:f>
        <x:v>Sales Rep C - Northern New England</x:v>
      </x:c>
    </x:row>
    <x:row r="6">
      <x:c r="A6" s="49" t="n">
        <x:v>2</x:v>
      </x:c>
      <x:c r="B6" s="49" t="str">
        <x:f>INDEX('Prospect Scoring'!$A$5:$A$164,MATCH($A6,'Prospect Scoring'!$Y$5:$Y$164,0))</x:f>
        <x:v>NE-002</x:v>
      </x:c>
      <x:c r="C6" s="50" t="str">
        <x:f>INDEX('Prospect Scoring'!$C$5:$C$164,MATCH($A6,'Prospect Scoring'!$Y$5:$Y$164,0))</x:f>
        <x:v>Sappi North America, Inc. - Somerset Operations - Skowhegan, ME</x:v>
      </x:c>
      <x:c r="D6" s="50" t="str">
        <x:f>INDEX('Prospect Scoring'!$D$5:$D$164,MATCH($A6,'Prospect Scoring'!$Y$5:$Y$164,0))</x:f>
        <x:v>SAPPI NORTH AMERICA INC</x:v>
      </x:c>
      <x:c r="E6" s="50" t="str">
        <x:f>INDEX('Prospect Scoring'!$H$5:$H$164,MATCH($A6,'Prospect Scoring'!$Y$5:$Y$164,0))</x:f>
        <x:v>ME</x:v>
      </x:c>
      <x:c r="F6" s="50" t="str">
        <x:f>INDEX('Prospect Scoring'!$E$5:$E$164,MATCH($A6,'Prospect Scoring'!$Y$5:$Y$164,0))</x:f>
        <x:v>Pulp and Paper,Waste</x:v>
      </x:c>
      <x:c r="G6" s="51" t="n">
        <x:f>INDEX('Prospect Scoring'!$X$5:$X$164,MATCH($A6,'Prospect Scoring'!$Y$5:$Y$164,0))</x:f>
        <x:v>87</x:v>
      </x:c>
      <x:c r="H6" s="50" t="str">
        <x:f>INDEX('Prospect Scoring'!$L$5:$L$164,MATCH($A6,'Prospect Scoring'!$Y$5:$Y$164,0))</x:f>
        <x:v>Energy Manager</x:v>
      </x:c>
      <x:c r="I6" s="50" t="str">
        <x:f>INDEX('Prospect Scoring'!$O$5:$O$164,MATCH($A6,'Prospect Scoring'!$Y$5:$Y$164,0))</x:f>
        <x:v>Industrial High-Load</x:v>
      </x:c>
      <x:c r="J6" s="50" t="str">
        <x:f>INDEX('Prospect Scoring'!$P$5:$P$164,MATCH($A6,'Prospect Scoring'!$Y$5:$Y$164,0))</x:f>
        <x:v>Sales Rep C - Northern New England</x:v>
      </x:c>
    </x:row>
    <x:row r="7">
      <x:c r="A7" s="49" t="n">
        <x:v>3</x:v>
      </x:c>
      <x:c r="B7" s="49" t="str">
        <x:f>INDEX('Prospect Scoring'!$A$5:$A$164,MATCH($A7,'Prospect Scoring'!$Y$5:$Y$164,0))</x:f>
        <x:v>NE-003</x:v>
      </x:c>
      <x:c r="C7" s="50" t="str">
        <x:f>INDEX('Prospect Scoring'!$C$5:$C$164,MATCH($A7,'Prospect Scoring'!$Y$5:$Y$164,0))</x:f>
        <x:v>WOODLAND PULP LLC - Baileyville, ME</x:v>
      </x:c>
      <x:c r="D7" s="50" t="str">
        <x:f>INDEX('Prospect Scoring'!$D$5:$D$164,MATCH($A7,'Prospect Scoring'!$Y$5:$Y$164,0))</x:f>
        <x:v>INTERNATIONAL GRAND INVESTMENT CORP</x:v>
      </x:c>
      <x:c r="E7" s="50" t="str">
        <x:f>INDEX('Prospect Scoring'!$H$5:$H$164,MATCH($A7,'Prospect Scoring'!$Y$5:$Y$164,0))</x:f>
        <x:v>ME</x:v>
      </x:c>
      <x:c r="F7" s="50" t="str">
        <x:f>INDEX('Prospect Scoring'!$E$5:$E$164,MATCH($A7,'Prospect Scoring'!$Y$5:$Y$164,0))</x:f>
        <x:v>Pulp and Paper,Waste</x:v>
      </x:c>
      <x:c r="G7" s="51" t="n">
        <x:f>INDEX('Prospect Scoring'!$X$5:$X$164,MATCH($A7,'Prospect Scoring'!$Y$5:$Y$164,0))</x:f>
        <x:v>87</x:v>
      </x:c>
      <x:c r="H7" s="50" t="str">
        <x:f>INDEX('Prospect Scoring'!$L$5:$L$164,MATCH($A7,'Prospect Scoring'!$Y$5:$Y$164,0))</x:f>
        <x:v>Energy Manager</x:v>
      </x:c>
      <x:c r="I7" s="50" t="str">
        <x:f>INDEX('Prospect Scoring'!$O$5:$O$164,MATCH($A7,'Prospect Scoring'!$Y$5:$Y$164,0))</x:f>
        <x:v>Industrial High-Load</x:v>
      </x:c>
      <x:c r="J7" s="50" t="str">
        <x:f>INDEX('Prospect Scoring'!$P$5:$P$164,MATCH($A7,'Prospect Scoring'!$Y$5:$Y$164,0))</x:f>
        <x:v>Sales Rep C - Northern New England</x:v>
      </x:c>
    </x:row>
    <x:row r="8">
      <x:c r="A8" s="49" t="n">
        <x:v>4</x:v>
      </x:c>
      <x:c r="B8" s="49" t="str">
        <x:f>INDEX('Prospect Scoring'!$A$5:$A$164,MATCH($A8,'Prospect Scoring'!$Y$5:$Y$164,0))</x:f>
        <x:v>NE-004</x:v>
      </x:c>
      <x:c r="C8" s="50" t="str">
        <x:f>INDEX('Prospect Scoring'!$C$5:$C$164,MATCH($A8,'Prospect Scoring'!$Y$5:$Y$164,0))</x:f>
        <x:v>KIMBERLY-CLARK TISSUE MILL - New Milford, CT</x:v>
      </x:c>
      <x:c r="D8" s="50" t="str">
        <x:f>INDEX('Prospect Scoring'!$D$5:$D$164,MATCH($A8,'Prospect Scoring'!$Y$5:$Y$164,0))</x:f>
        <x:v>KIMBERLY-CLARK CORP</x:v>
      </x:c>
      <x:c r="E8" s="50" t="str">
        <x:f>INDEX('Prospect Scoring'!$H$5:$H$164,MATCH($A8,'Prospect Scoring'!$Y$5:$Y$164,0))</x:f>
        <x:v>CT</x:v>
      </x:c>
      <x:c r="F8" s="50" t="str">
        <x:f>INDEX('Prospect Scoring'!$E$5:$E$164,MATCH($A8,'Prospect Scoring'!$Y$5:$Y$164,0))</x:f>
        <x:v>Pulp and Paper</x:v>
      </x:c>
      <x:c r="G8" s="51" t="n">
        <x:f>INDEX('Prospect Scoring'!$X$5:$X$164,MATCH($A8,'Prospect Scoring'!$Y$5:$Y$164,0))</x:f>
        <x:v>86</x:v>
      </x:c>
      <x:c r="H8" s="50" t="str">
        <x:f>INDEX('Prospect Scoring'!$L$5:$L$164,MATCH($A8,'Prospect Scoring'!$Y$5:$Y$164,0))</x:f>
        <x:v>Energy Manager</x:v>
      </x:c>
      <x:c r="I8" s="50" t="str">
        <x:f>INDEX('Prospect Scoring'!$O$5:$O$164,MATCH($A8,'Prospect Scoring'!$Y$5:$Y$164,0))</x:f>
        <x:v>Industrial High-Load</x:v>
      </x:c>
      <x:c r="J8" s="50" t="str">
        <x:f>INDEX('Prospect Scoring'!$P$5:$P$164,MATCH($A8,'Prospect Scoring'!$Y$5:$Y$164,0))</x:f>
        <x:v>Sales Rep B - Connecticut/Rhode Island</x:v>
      </x:c>
    </x:row>
    <x:row r="9">
      <x:c r="A9" s="49" t="n">
        <x:v>5</x:v>
      </x:c>
      <x:c r="B9" s="49" t="str">
        <x:f>INDEX('Prospect Scoring'!$A$5:$A$164,MATCH($A9,'Prospect Scoring'!$Y$5:$Y$164,0))</x:f>
        <x:v>NE-005</x:v>
      </x:c>
      <x:c r="C9" s="50" t="str">
        <x:f>INDEX('Prospect Scoring'!$C$5:$C$164,MATCH($A9,'Prospect Scoring'!$Y$5:$Y$164,0))</x:f>
        <x:v>SPECIALTY MINERALS - Adams, MA</x:v>
      </x:c>
      <x:c r="D9" s="50" t="str">
        <x:f>INDEX('Prospect Scoring'!$D$5:$D$164,MATCH($A9,'Prospect Scoring'!$Y$5:$Y$164,0))</x:f>
        <x:v>MINERALS TECHNOLOGIES INC</x:v>
      </x:c>
      <x:c r="E9" s="50" t="str">
        <x:f>INDEX('Prospect Scoring'!$H$5:$H$164,MATCH($A9,'Prospect Scoring'!$Y$5:$Y$164,0))</x:f>
        <x:v>MA</x:v>
      </x:c>
      <x:c r="F9" s="50" t="str">
        <x:f>INDEX('Prospect Scoring'!$E$5:$E$164,MATCH($A9,'Prospect Scoring'!$Y$5:$Y$164,0))</x:f>
        <x:v>Minerals</x:v>
      </x:c>
      <x:c r="G9" s="51" t="n">
        <x:f>INDEX('Prospect Scoring'!$X$5:$X$164,MATCH($A9,'Prospect Scoring'!$Y$5:$Y$164,0))</x:f>
        <x:v>86</x:v>
      </x:c>
      <x:c r="H9" s="50" t="str">
        <x:f>INDEX('Prospect Scoring'!$L$5:$L$164,MATCH($A9,'Prospect Scoring'!$Y$5:$Y$164,0))</x:f>
        <x:v>Plant Manager</x:v>
      </x:c>
      <x:c r="I9" s="50" t="str">
        <x:f>INDEX('Prospect Scoring'!$O$5:$O$164,MATCH($A9,'Prospect Scoring'!$Y$5:$Y$164,0))</x:f>
        <x:v>Industrial High-Load</x:v>
      </x:c>
      <x:c r="J9" s="50" t="str">
        <x:f>INDEX('Prospect Scoring'!$P$5:$P$164,MATCH($A9,'Prospect Scoring'!$Y$5:$Y$164,0))</x:f>
        <x:v>Sales Rep A - Massachusetts</x:v>
      </x:c>
    </x:row>
    <x:row r="10">
      <x:c r="A10" s="49" t="n">
        <x:v>6</x:v>
      </x:c>
      <x:c r="B10" s="49" t="str">
        <x:f>INDEX('Prospect Scoring'!$A$5:$A$164,MATCH($A10,'Prospect Scoring'!$Y$5:$Y$164,0))</x:f>
        <x:v>NE-006</x:v>
      </x:c>
      <x:c r="C10" s="50" t="str">
        <x:f>INDEX('Prospect Scoring'!$C$5:$C$164,MATCH($A10,'Prospect Scoring'!$Y$5:$Y$164,0))</x:f>
        <x:v>SEMASS PARTNERSHIP RESOURCE RECOVERY FACILITY - Rochester, MA</x:v>
      </x:c>
      <x:c r="D10" s="50" t="str">
        <x:f>INDEX('Prospect Scoring'!$D$5:$D$164,MATCH($A10,'Prospect Scoring'!$Y$5:$Y$164,0))</x:f>
        <x:v>COVANTA HOLDING CORP</x:v>
      </x:c>
      <x:c r="E10" s="50" t="str">
        <x:f>INDEX('Prospect Scoring'!$H$5:$H$164,MATCH($A10,'Prospect Scoring'!$Y$5:$Y$164,0))</x:f>
        <x:v>MA</x:v>
      </x:c>
      <x:c r="F10" s="50" t="str">
        <x:f>INDEX('Prospect Scoring'!$E$5:$E$164,MATCH($A10,'Prospect Scoring'!$Y$5:$Y$164,0))</x:f>
        <x:v>Waste</x:v>
      </x:c>
      <x:c r="G10" s="51" t="n">
        <x:f>INDEX('Prospect Scoring'!$X$5:$X$164,MATCH($A10,'Prospect Scoring'!$Y$5:$Y$164,0))</x:f>
        <x:v>84</x:v>
      </x:c>
      <x:c r="H10" s="50" t="str">
        <x:f>INDEX('Prospect Scoring'!$L$5:$L$164,MATCH($A10,'Prospect Scoring'!$Y$5:$Y$164,0))</x:f>
        <x:v>Director of Operations</x:v>
      </x:c>
      <x:c r="I10" s="50" t="str">
        <x:f>INDEX('Prospect Scoring'!$O$5:$O$164,MATCH($A10,'Prospect Scoring'!$Y$5:$Y$164,0))</x:f>
        <x:v>Waste and Environmental</x:v>
      </x:c>
      <x:c r="J10" s="50" t="str">
        <x:f>INDEX('Prospect Scoring'!$P$5:$P$164,MATCH($A10,'Prospect Scoring'!$Y$5:$Y$164,0))</x:f>
        <x:v>Sales Rep A - Massachusetts</x:v>
      </x:c>
    </x:row>
    <x:row r="11">
      <x:c r="A11" s="49" t="n">
        <x:v>7</x:v>
      </x:c>
      <x:c r="B11" s="49" t="str">
        <x:f>INDEX('Prospect Scoring'!$A$5:$A$164,MATCH($A11,'Prospect Scoring'!$Y$5:$Y$164,0))</x:f>
        <x:v>NE-007</x:v>
      </x:c>
      <x:c r="C11" s="50" t="str">
        <x:f>INDEX('Prospect Scoring'!$C$5:$C$164,MATCH($A11,'Prospect Scoring'!$Y$5:$Y$164,0))</x:f>
        <x:v>MIT Central Utility Plant - Cambridge, MA</x:v>
      </x:c>
      <x:c r="D11" s="50" t="str">
        <x:f>INDEX('Prospect Scoring'!$D$5:$D$164,MATCH($A11,'Prospect Scoring'!$Y$5:$Y$164,0))</x:f>
        <x:v>MASSACHUSETTS INSTITUTE OF TECHNOLOGY</x:v>
      </x:c>
      <x:c r="E11" s="50" t="str">
        <x:f>INDEX('Prospect Scoring'!$H$5:$H$164,MATCH($A11,'Prospect Scoring'!$Y$5:$Y$164,0))</x:f>
        <x:v>MA</x:v>
      </x:c>
      <x:c r="F11" s="50" t="str">
        <x:f>INDEX('Prospect Scoring'!$E$5:$E$164,MATCH($A11,'Prospect Scoring'!$Y$5:$Y$164,0))</x:f>
        <x:v>Other</x:v>
      </x:c>
      <x:c r="G11" s="51" t="n">
        <x:f>INDEX('Prospect Scoring'!$X$5:$X$164,MATCH($A11,'Prospect Scoring'!$Y$5:$Y$164,0))</x:f>
        <x:v>82</x:v>
      </x:c>
      <x:c r="H11" s="50" t="str">
        <x:f>INDEX('Prospect Scoring'!$L$5:$L$164,MATCH($A11,'Prospect Scoring'!$Y$5:$Y$164,0))</x:f>
        <x:v>Director of Facilities</x:v>
      </x:c>
      <x:c r="I11" s="50" t="str">
        <x:f>INDEX('Prospect Scoring'!$O$5:$O$164,MATCH($A11,'Prospect Scoring'!$Y$5:$Y$164,0))</x:f>
        <x:v>Facilities and Institutions</x:v>
      </x:c>
      <x:c r="J11" s="50" t="str">
        <x:f>INDEX('Prospect Scoring'!$P$5:$P$164,MATCH($A11,'Prospect Scoring'!$Y$5:$Y$164,0))</x:f>
        <x:v>Sales Rep A - Massachusetts</x:v>
      </x:c>
    </x:row>
    <x:row r="12">
      <x:c r="A12" s="49" t="n">
        <x:v>8</x:v>
      </x:c>
      <x:c r="B12" s="49" t="str">
        <x:f>INDEX('Prospect Scoring'!$A$5:$A$164,MATCH($A12,'Prospect Scoring'!$Y$5:$Y$164,0))</x:f>
        <x:v>NE-008</x:v>
      </x:c>
      <x:c r="C12" s="50" t="str">
        <x:f>INDEX('Prospect Scoring'!$C$5:$C$164,MATCH($A12,'Prospect Scoring'!$Y$5:$Y$164,0))</x:f>
        <x:v>UMASS PHYSICAL PLANT BUILDING - Amherst, MA</x:v>
      </x:c>
      <x:c r="D12" s="50" t="str">
        <x:f>INDEX('Prospect Scoring'!$D$5:$D$164,MATCH($A12,'Prospect Scoring'!$Y$5:$Y$164,0))</x:f>
        <x:v>UNIVERSITY OF MASSACHUSETTS</x:v>
      </x:c>
      <x:c r="E12" s="50" t="str">
        <x:f>INDEX('Prospect Scoring'!$H$5:$H$164,MATCH($A12,'Prospect Scoring'!$Y$5:$Y$164,0))</x:f>
        <x:v>MA</x:v>
      </x:c>
      <x:c r="F12" s="50" t="str">
        <x:f>INDEX('Prospect Scoring'!$E$5:$E$164,MATCH($A12,'Prospect Scoring'!$Y$5:$Y$164,0))</x:f>
        <x:v>Other</x:v>
      </x:c>
      <x:c r="G12" s="51" t="n">
        <x:f>INDEX('Prospect Scoring'!$X$5:$X$164,MATCH($A12,'Prospect Scoring'!$Y$5:$Y$164,0))</x:f>
        <x:v>82</x:v>
      </x:c>
      <x:c r="H12" s="50" t="str">
        <x:f>INDEX('Prospect Scoring'!$L$5:$L$164,MATCH($A12,'Prospect Scoring'!$Y$5:$Y$164,0))</x:f>
        <x:v>Director of Facilities</x:v>
      </x:c>
      <x:c r="I12" s="50" t="str">
        <x:f>INDEX('Prospect Scoring'!$O$5:$O$164,MATCH($A12,'Prospect Scoring'!$Y$5:$Y$164,0))</x:f>
        <x:v>Facilities and Institutions</x:v>
      </x:c>
      <x:c r="J12" s="50" t="str">
        <x:f>INDEX('Prospect Scoring'!$P$5:$P$164,MATCH($A12,'Prospect Scoring'!$Y$5:$Y$164,0))</x:f>
        <x:v>Sales Rep A - Massachusetts</x:v>
      </x:c>
    </x:row>
    <x:row r="13">
      <x:c r="A13" s="49" t="n">
        <x:v>9</x:v>
      </x:c>
      <x:c r="B13" s="49" t="str">
        <x:f>INDEX('Prospect Scoring'!$A$5:$A$164,MATCH($A13,'Prospect Scoring'!$Y$5:$Y$164,0))</x:f>
        <x:v>NE-009</x:v>
      </x:c>
      <x:c r="C13" s="50" t="str">
        <x:f>INDEX('Prospect Scoring'!$C$5:$C$164,MATCH($A13,'Prospect Scoring'!$Y$5:$Y$164,0))</x:f>
        <x:v>RAND-WHITNEY CONTAINERBOARD LP - Montville, CT</x:v>
      </x:c>
      <x:c r="D13" s="50" t="str">
        <x:f>INDEX('Prospect Scoring'!$D$5:$D$164,MATCH($A13,'Prospect Scoring'!$Y$5:$Y$164,0))</x:f>
        <x:v>THE KRAFT GROUP</x:v>
      </x:c>
      <x:c r="E13" s="50" t="str">
        <x:f>INDEX('Prospect Scoring'!$H$5:$H$164,MATCH($A13,'Prospect Scoring'!$Y$5:$Y$164,0))</x:f>
        <x:v>CT</x:v>
      </x:c>
      <x:c r="F13" s="50" t="str">
        <x:f>INDEX('Prospect Scoring'!$E$5:$E$164,MATCH($A13,'Prospect Scoring'!$Y$5:$Y$164,0))</x:f>
        <x:v>Pulp and Paper</x:v>
      </x:c>
      <x:c r="G13" s="51" t="n">
        <x:f>INDEX('Prospect Scoring'!$X$5:$X$164,MATCH($A13,'Prospect Scoring'!$Y$5:$Y$164,0))</x:f>
        <x:v>81</x:v>
      </x:c>
      <x:c r="H13" s="50" t="str">
        <x:f>INDEX('Prospect Scoring'!$L$5:$L$164,MATCH($A13,'Prospect Scoring'!$Y$5:$Y$164,0))</x:f>
        <x:v>Energy Manager</x:v>
      </x:c>
      <x:c r="I13" s="50" t="str">
        <x:f>INDEX('Prospect Scoring'!$O$5:$O$164,MATCH($A13,'Prospect Scoring'!$Y$5:$Y$164,0))</x:f>
        <x:v>Industrial High-Load</x:v>
      </x:c>
      <x:c r="J13" s="50" t="str">
        <x:f>INDEX('Prospect Scoring'!$P$5:$P$164,MATCH($A13,'Prospect Scoring'!$Y$5:$Y$164,0))</x:f>
        <x:v>Sales Rep B - Connecticut/Rhode Island</x:v>
      </x:c>
    </x:row>
    <x:row r="14">
      <x:c r="A14" s="49" t="n">
        <x:v>10</x:v>
      </x:c>
      <x:c r="B14" s="49" t="str">
        <x:f>INDEX('Prospect Scoring'!$A$5:$A$164,MATCH($A14,'Prospect Scoring'!$Y$5:$Y$164,0))</x:f>
        <x:v>NE-010</x:v>
      </x:c>
      <x:c r="C14" s="50" t="str">
        <x:f>INDEX('Prospect Scoring'!$C$5:$C$164,MATCH($A14,'Prospect Scoring'!$Y$5:$Y$164,0))</x:f>
        <x:v>Wheelabrator Bridgeport L.P. - Bridgeport, CT</x:v>
      </x:c>
      <x:c r="D14" s="50" t="str">
        <x:f>INDEX('Prospect Scoring'!$D$5:$D$164,MATCH($A14,'Prospect Scoring'!$Y$5:$Y$164,0))</x:f>
        <x:v>WHEELABRATOR TECHNOLOGIES HOLDINGS INC</x:v>
      </x:c>
      <x:c r="E14" s="50" t="str">
        <x:f>INDEX('Prospect Scoring'!$H$5:$H$164,MATCH($A14,'Prospect Scoring'!$Y$5:$Y$164,0))</x:f>
        <x:v>CT</x:v>
      </x:c>
      <x:c r="F14" s="50" t="str">
        <x:f>INDEX('Prospect Scoring'!$E$5:$E$164,MATCH($A14,'Prospect Scoring'!$Y$5:$Y$164,0))</x:f>
        <x:v>Waste</x:v>
      </x:c>
      <x:c r="G14" s="51" t="n">
        <x:f>INDEX('Prospect Scoring'!$X$5:$X$164,MATCH($A14,'Prospect Scoring'!$Y$5:$Y$164,0))</x:f>
        <x:v>80</x:v>
      </x:c>
      <x:c r="H14" s="50" t="str">
        <x:f>INDEX('Prospect Scoring'!$L$5:$L$164,MATCH($A14,'Prospect Scoring'!$Y$5:$Y$164,0))</x:f>
        <x:v>Director of Operations</x:v>
      </x:c>
      <x:c r="I14" s="50" t="str">
        <x:f>INDEX('Prospect Scoring'!$O$5:$O$164,MATCH($A14,'Prospect Scoring'!$Y$5:$Y$164,0))</x:f>
        <x:v>Waste and Environmental</x:v>
      </x:c>
      <x:c r="J14" s="50" t="str">
        <x:f>INDEX('Prospect Scoring'!$P$5:$P$164,MATCH($A14,'Prospect Scoring'!$Y$5:$Y$164,0))</x:f>
        <x:v>Sales Rep B - Connecticut/Rhode Island</x:v>
      </x:c>
    </x:row>
    <x:row r="15">
      <x:c r="A15" s="49" t="n">
        <x:v>11</x:v>
      </x:c>
      <x:c r="B15" s="49" t="str">
        <x:f>INDEX('Prospect Scoring'!$A$5:$A$164,MATCH($A15,'Prospect Scoring'!$Y$5:$Y$164,0))</x:f>
        <x:v>NE-011</x:v>
      </x:c>
      <x:c r="C15" s="50" t="str">
        <x:f>INDEX('Prospect Scoring'!$C$5:$C$164,MATCH($A15,'Prospect Scoring'!$Y$5:$Y$164,0))</x:f>
        <x:v>ERVING PAPER MILLS INC - Erving, MA</x:v>
      </x:c>
      <x:c r="D15" s="50" t="str">
        <x:f>INDEX('Prospect Scoring'!$D$5:$D$164,MATCH($A15,'Prospect Scoring'!$Y$5:$Y$164,0))</x:f>
        <x:v>ERVING INDUSTRIES INC</x:v>
      </x:c>
      <x:c r="E15" s="50" t="str">
        <x:f>INDEX('Prospect Scoring'!$H$5:$H$164,MATCH($A15,'Prospect Scoring'!$Y$5:$Y$164,0))</x:f>
        <x:v>MA</x:v>
      </x:c>
      <x:c r="F15" s="50" t="str">
        <x:f>INDEX('Prospect Scoring'!$E$5:$E$164,MATCH($A15,'Prospect Scoring'!$Y$5:$Y$164,0))</x:f>
        <x:v>Pulp and Paper</x:v>
      </x:c>
      <x:c r="G15" s="51" t="n">
        <x:f>INDEX('Prospect Scoring'!$X$5:$X$164,MATCH($A15,'Prospect Scoring'!$Y$5:$Y$164,0))</x:f>
        <x:v>80</x:v>
      </x:c>
      <x:c r="H15" s="50" t="str">
        <x:f>INDEX('Prospect Scoring'!$L$5:$L$164,MATCH($A15,'Prospect Scoring'!$Y$5:$Y$164,0))</x:f>
        <x:v>Energy Manager</x:v>
      </x:c>
      <x:c r="I15" s="50" t="str">
        <x:f>INDEX('Prospect Scoring'!$O$5:$O$164,MATCH($A15,'Prospect Scoring'!$Y$5:$Y$164,0))</x:f>
        <x:v>Industrial High-Load</x:v>
      </x:c>
      <x:c r="J15" s="50" t="str">
        <x:f>INDEX('Prospect Scoring'!$P$5:$P$164,MATCH($A15,'Prospect Scoring'!$Y$5:$Y$164,0))</x:f>
        <x:v>Sales Rep A - Massachusetts</x:v>
      </x:c>
    </x:row>
    <x:row r="16">
      <x:c r="A16" s="49" t="n">
        <x:v>12</x:v>
      </x:c>
      <x:c r="B16" s="49" t="str">
        <x:f>INDEX('Prospect Scoring'!$A$5:$A$164,MATCH($A16,'Prospect Scoring'!$Y$5:$Y$164,0))</x:f>
        <x:v>NE-012</x:v>
      </x:c>
      <x:c r="C16" s="50" t="str">
        <x:f>INDEX('Prospect Scoring'!$C$5:$C$164,MATCH($A16,'Prospect Scoring'!$Y$5:$Y$164,0))</x:f>
        <x:v>NEWARK AMERICA - Fitchburg, MA</x:v>
      </x:c>
      <x:c r="D16" s="50" t="str">
        <x:f>INDEX('Prospect Scoring'!$D$5:$D$164,MATCH($A16,'Prospect Scoring'!$Y$5:$Y$164,0))</x:f>
        <x:v>GREIF INC</x:v>
      </x:c>
      <x:c r="E16" s="50" t="str">
        <x:f>INDEX('Prospect Scoring'!$H$5:$H$164,MATCH($A16,'Prospect Scoring'!$Y$5:$Y$164,0))</x:f>
        <x:v>MA</x:v>
      </x:c>
      <x:c r="F16" s="50" t="str">
        <x:f>INDEX('Prospect Scoring'!$E$5:$E$164,MATCH($A16,'Prospect Scoring'!$Y$5:$Y$164,0))</x:f>
        <x:v>Pulp and Paper</x:v>
      </x:c>
      <x:c r="G16" s="51" t="n">
        <x:f>INDEX('Prospect Scoring'!$X$5:$X$164,MATCH($A16,'Prospect Scoring'!$Y$5:$Y$164,0))</x:f>
        <x:v>80</x:v>
      </x:c>
      <x:c r="H16" s="50" t="str">
        <x:f>INDEX('Prospect Scoring'!$L$5:$L$164,MATCH($A16,'Prospect Scoring'!$Y$5:$Y$164,0))</x:f>
        <x:v>Energy Manager</x:v>
      </x:c>
      <x:c r="I16" s="50" t="str">
        <x:f>INDEX('Prospect Scoring'!$O$5:$O$164,MATCH($A16,'Prospect Scoring'!$Y$5:$Y$164,0))</x:f>
        <x:v>Industrial High-Load</x:v>
      </x:c>
      <x:c r="J16" s="50" t="str">
        <x:f>INDEX('Prospect Scoring'!$P$5:$P$164,MATCH($A16,'Prospect Scoring'!$Y$5:$Y$164,0))</x:f>
        <x:v>Sales Rep A - Massachusetts</x:v>
      </x:c>
    </x:row>
    <x:row r="17">
      <x:c r="A17" s="49" t="n">
        <x:v>13</x:v>
      </x:c>
      <x:c r="B17" s="49" t="str">
        <x:f>INDEX('Prospect Scoring'!$A$5:$A$164,MATCH($A17,'Prospect Scoring'!$Y$5:$Y$164,0))</x:f>
        <x:v>NE-013</x:v>
      </x:c>
      <x:c r="C17" s="50" t="str">
        <x:f>INDEX('Prospect Scoring'!$C$5:$C$164,MATCH($A17,'Prospect Scoring'!$Y$5:$Y$164,0))</x:f>
        <x:v>COVANTA HAVERHILL INC - Haverhill, MA</x:v>
      </x:c>
      <x:c r="D17" s="50" t="str">
        <x:f>INDEX('Prospect Scoring'!$D$5:$D$164,MATCH($A17,'Prospect Scoring'!$Y$5:$Y$164,0))</x:f>
        <x:v>COVANTA HOLDING CORP</x:v>
      </x:c>
      <x:c r="E17" s="50" t="str">
        <x:f>INDEX('Prospect Scoring'!$H$5:$H$164,MATCH($A17,'Prospect Scoring'!$Y$5:$Y$164,0))</x:f>
        <x:v>MA</x:v>
      </x:c>
      <x:c r="F17" s="50" t="str">
        <x:f>INDEX('Prospect Scoring'!$E$5:$E$164,MATCH($A17,'Prospect Scoring'!$Y$5:$Y$164,0))</x:f>
        <x:v>Waste</x:v>
      </x:c>
      <x:c r="G17" s="51" t="n">
        <x:f>INDEX('Prospect Scoring'!$X$5:$X$164,MATCH($A17,'Prospect Scoring'!$Y$5:$Y$164,0))</x:f>
        <x:v>79</x:v>
      </x:c>
      <x:c r="H17" s="50" t="str">
        <x:f>INDEX('Prospect Scoring'!$L$5:$L$164,MATCH($A17,'Prospect Scoring'!$Y$5:$Y$164,0))</x:f>
        <x:v>Director of Operations</x:v>
      </x:c>
      <x:c r="I17" s="50" t="str">
        <x:f>INDEX('Prospect Scoring'!$O$5:$O$164,MATCH($A17,'Prospect Scoring'!$Y$5:$Y$164,0))</x:f>
        <x:v>Waste and Environmental</x:v>
      </x:c>
      <x:c r="J17" s="50" t="str">
        <x:f>INDEX('Prospect Scoring'!$P$5:$P$164,MATCH($A17,'Prospect Scoring'!$Y$5:$Y$164,0))</x:f>
        <x:v>Sales Rep A - Massachusetts</x:v>
      </x:c>
    </x:row>
    <x:row r="18">
      <x:c r="A18" s="49" t="n">
        <x:v>14</x:v>
      </x:c>
      <x:c r="B18" s="49" t="str">
        <x:f>INDEX('Prospect Scoring'!$A$5:$A$164,MATCH($A18,'Prospect Scoring'!$Y$5:$Y$164,0))</x:f>
        <x:v>NE-014</x:v>
      </x:c>
      <x:c r="C18" s="50" t="str">
        <x:f>INDEX('Prospect Scoring'!$C$5:$C$164,MATCH($A18,'Prospect Scoring'!$Y$5:$Y$164,0))</x:f>
        <x:v>WHEELABRATOR MILLBURY INC - Millbury, MA</x:v>
      </x:c>
      <x:c r="D18" s="50" t="str">
        <x:f>INDEX('Prospect Scoring'!$D$5:$D$164,MATCH($A18,'Prospect Scoring'!$Y$5:$Y$164,0))</x:f>
        <x:v>WHEELABRATOR TECHNOLOGIES HOLDINGS INC</x:v>
      </x:c>
      <x:c r="E18" s="50" t="str">
        <x:f>INDEX('Prospect Scoring'!$H$5:$H$164,MATCH($A18,'Prospect Scoring'!$Y$5:$Y$164,0))</x:f>
        <x:v>MA</x:v>
      </x:c>
      <x:c r="F18" s="50" t="str">
        <x:f>INDEX('Prospect Scoring'!$E$5:$E$164,MATCH($A18,'Prospect Scoring'!$Y$5:$Y$164,0))</x:f>
        <x:v>Waste</x:v>
      </x:c>
      <x:c r="G18" s="51" t="n">
        <x:f>INDEX('Prospect Scoring'!$X$5:$X$164,MATCH($A18,'Prospect Scoring'!$Y$5:$Y$164,0))</x:f>
        <x:v>79</x:v>
      </x:c>
      <x:c r="H18" s="50" t="str">
        <x:f>INDEX('Prospect Scoring'!$L$5:$L$164,MATCH($A18,'Prospect Scoring'!$Y$5:$Y$164,0))</x:f>
        <x:v>Director of Operations</x:v>
      </x:c>
      <x:c r="I18" s="50" t="str">
        <x:f>INDEX('Prospect Scoring'!$O$5:$O$164,MATCH($A18,'Prospect Scoring'!$Y$5:$Y$164,0))</x:f>
        <x:v>Waste and Environmental</x:v>
      </x:c>
      <x:c r="J18" s="50" t="str">
        <x:f>INDEX('Prospect Scoring'!$P$5:$P$164,MATCH($A18,'Prospect Scoring'!$Y$5:$Y$164,0))</x:f>
        <x:v>Sales Rep A - Massachusetts</x:v>
      </x:c>
    </x:row>
    <x:row r="19">
      <x:c r="A19" s="49" t="n">
        <x:v>15</x:v>
      </x:c>
      <x:c r="B19" s="49" t="str">
        <x:f>INDEX('Prospect Scoring'!$A$5:$A$164,MATCH($A19,'Prospect Scoring'!$Y$5:$Y$164,0))</x:f>
        <x:v>NE-015</x:v>
      </x:c>
      <x:c r="C19" s="50" t="str">
        <x:f>INDEX('Prospect Scoring'!$C$5:$C$164,MATCH($A19,'Prospect Scoring'!$Y$5:$Y$164,0))</x:f>
        <x:v>WHEELABRATOR NORTH ANDOVER INC. - North Andover, MA</x:v>
      </x:c>
      <x:c r="D19" s="50" t="str">
        <x:f>INDEX('Prospect Scoring'!$D$5:$D$164,MATCH($A19,'Prospect Scoring'!$Y$5:$Y$164,0))</x:f>
        <x:v>WHEELABRATOR TECHNOLOGIES HOLDINGS INC</x:v>
      </x:c>
      <x:c r="E19" s="50" t="str">
        <x:f>INDEX('Prospect Scoring'!$H$5:$H$164,MATCH($A19,'Prospect Scoring'!$Y$5:$Y$164,0))</x:f>
        <x:v>MA</x:v>
      </x:c>
      <x:c r="F19" s="50" t="str">
        <x:f>INDEX('Prospect Scoring'!$E$5:$E$164,MATCH($A19,'Prospect Scoring'!$Y$5:$Y$164,0))</x:f>
        <x:v>Waste</x:v>
      </x:c>
      <x:c r="G19" s="51" t="n">
        <x:f>INDEX('Prospect Scoring'!$X$5:$X$164,MATCH($A19,'Prospect Scoring'!$Y$5:$Y$164,0))</x:f>
        <x:v>79</x:v>
      </x:c>
      <x:c r="H19" s="50" t="str">
        <x:f>INDEX('Prospect Scoring'!$L$5:$L$164,MATCH($A19,'Prospect Scoring'!$Y$5:$Y$164,0))</x:f>
        <x:v>Director of Operations</x:v>
      </x:c>
      <x:c r="I19" s="50" t="str">
        <x:f>INDEX('Prospect Scoring'!$O$5:$O$164,MATCH($A19,'Prospect Scoring'!$Y$5:$Y$164,0))</x:f>
        <x:v>Waste and Environmental</x:v>
      </x:c>
      <x:c r="J19" s="50" t="str">
        <x:f>INDEX('Prospect Scoring'!$P$5:$P$164,MATCH($A19,'Prospect Scoring'!$Y$5:$Y$164,0))</x:f>
        <x:v>Sales Rep A - Massachusetts</x:v>
      </x:c>
    </x:row>
    <x:row r="20">
      <x:c r="A20" s="49" t="n">
        <x:v>16</x:v>
      </x:c>
      <x:c r="B20" s="49" t="str">
        <x:f>INDEX('Prospect Scoring'!$A$5:$A$164,MATCH($A20,'Prospect Scoring'!$Y$5:$Y$164,0))</x:f>
        <x:v>NE-016</x:v>
      </x:c>
      <x:c r="C20" s="50" t="str">
        <x:f>INDEX('Prospect Scoring'!$C$5:$C$164,MATCH($A20,'Prospect Scoring'!$Y$5:$Y$164,0))</x:f>
        <x:v>Wheelabrator Saugus Inc. - Saugus, MA</x:v>
      </x:c>
      <x:c r="D20" s="50" t="str">
        <x:f>INDEX('Prospect Scoring'!$D$5:$D$164,MATCH($A20,'Prospect Scoring'!$Y$5:$Y$164,0))</x:f>
        <x:v>WHEELABRATOR TECHNOLOGIES HOLDINGS INC</x:v>
      </x:c>
      <x:c r="E20" s="50" t="str">
        <x:f>INDEX('Prospect Scoring'!$H$5:$H$164,MATCH($A20,'Prospect Scoring'!$Y$5:$Y$164,0))</x:f>
        <x:v>MA</x:v>
      </x:c>
      <x:c r="F20" s="50" t="str">
        <x:f>INDEX('Prospect Scoring'!$E$5:$E$164,MATCH($A20,'Prospect Scoring'!$Y$5:$Y$164,0))</x:f>
        <x:v>Waste</x:v>
      </x:c>
      <x:c r="G20" s="51" t="n">
        <x:f>INDEX('Prospect Scoring'!$X$5:$X$164,MATCH($A20,'Prospect Scoring'!$Y$5:$Y$164,0))</x:f>
        <x:v>79</x:v>
      </x:c>
      <x:c r="H20" s="50" t="str">
        <x:f>INDEX('Prospect Scoring'!$L$5:$L$164,MATCH($A20,'Prospect Scoring'!$Y$5:$Y$164,0))</x:f>
        <x:v>Director of Operations</x:v>
      </x:c>
      <x:c r="I20" s="50" t="str">
        <x:f>INDEX('Prospect Scoring'!$O$5:$O$164,MATCH($A20,'Prospect Scoring'!$Y$5:$Y$164,0))</x:f>
        <x:v>Waste and Environmental</x:v>
      </x:c>
      <x:c r="J20" s="50" t="str">
        <x:f>INDEX('Prospect Scoring'!$P$5:$P$164,MATCH($A20,'Prospect Scoring'!$Y$5:$Y$164,0))</x:f>
        <x:v>Sales Rep A - Massachusetts</x:v>
      </x:c>
    </x:row>
    <x:row r="21">
      <x:c r="A21" s="49" t="n">
        <x:v>17</x:v>
      </x:c>
      <x:c r="B21" s="49" t="str">
        <x:f>INDEX('Prospect Scoring'!$A$5:$A$164,MATCH($A21,'Prospect Scoring'!$Y$5:$Y$164,0))</x:f>
        <x:v>NE-017</x:v>
      </x:c>
      <x:c r="C21" s="50" t="str">
        <x:f>INDEX('Prospect Scoring'!$C$5:$C$164,MATCH($A21,'Prospect Scoring'!$Y$5:$Y$164,0))</x:f>
        <x:v>DRAGON CEMENT - Thomaston, ME</x:v>
      </x:c>
      <x:c r="D21" s="50" t="str">
        <x:f>INDEX('Prospect Scoring'!$D$5:$D$164,MATCH($A21,'Prospect Scoring'!$Y$5:$Y$164,0))</x:f>
        <x:v>GIANT CEMENT HOLDING INC</x:v>
      </x:c>
      <x:c r="E21" s="50" t="str">
        <x:f>INDEX('Prospect Scoring'!$H$5:$H$164,MATCH($A21,'Prospect Scoring'!$Y$5:$Y$164,0))</x:f>
        <x:v>ME</x:v>
      </x:c>
      <x:c r="F21" s="50" t="str">
        <x:f>INDEX('Prospect Scoring'!$E$5:$E$164,MATCH($A21,'Prospect Scoring'!$Y$5:$Y$164,0))</x:f>
        <x:v>Minerals</x:v>
      </x:c>
      <x:c r="G21" s="51" t="n">
        <x:f>INDEX('Prospect Scoring'!$X$5:$X$164,MATCH($A21,'Prospect Scoring'!$Y$5:$Y$164,0))</x:f>
        <x:v>78</x:v>
      </x:c>
      <x:c r="H21" s="50" t="str">
        <x:f>INDEX('Prospect Scoring'!$L$5:$L$164,MATCH($A21,'Prospect Scoring'!$Y$5:$Y$164,0))</x:f>
        <x:v>Plant Manager</x:v>
      </x:c>
      <x:c r="I21" s="50" t="str">
        <x:f>INDEX('Prospect Scoring'!$O$5:$O$164,MATCH($A21,'Prospect Scoring'!$Y$5:$Y$164,0))</x:f>
        <x:v>Industrial High-Load</x:v>
      </x:c>
      <x:c r="J21" s="50" t="str">
        <x:f>INDEX('Prospect Scoring'!$P$5:$P$164,MATCH($A21,'Prospect Scoring'!$Y$5:$Y$164,0))</x:f>
        <x:v>Sales Rep C - Northern New England</x:v>
      </x:c>
    </x:row>
    <x:row r="22">
      <x:c r="A22" s="49" t="n">
        <x:v>18</x:v>
      </x:c>
      <x:c r="B22" s="49" t="str">
        <x:f>INDEX('Prospect Scoring'!$A$5:$A$164,MATCH($A22,'Prospect Scoring'!$Y$5:$Y$164,0))</x:f>
        <x:v>NE-018</x:v>
      </x:c>
      <x:c r="C22" s="50" t="str">
        <x:f>INDEX('Prospect Scoring'!$C$5:$C$164,MATCH($A22,'Prospect Scoring'!$Y$5:$Y$164,0))</x:f>
        <x:v>Pfizer - Andover, MA</x:v>
      </x:c>
      <x:c r="D22" s="50" t="str">
        <x:f>INDEX('Prospect Scoring'!$D$5:$D$164,MATCH($A22,'Prospect Scoring'!$Y$5:$Y$164,0))</x:f>
        <x:v>PFIZER INC</x:v>
      </x:c>
      <x:c r="E22" s="50" t="str">
        <x:f>INDEX('Prospect Scoring'!$H$5:$H$164,MATCH($A22,'Prospect Scoring'!$Y$5:$Y$164,0))</x:f>
        <x:v>MA</x:v>
      </x:c>
      <x:c r="F22" s="50" t="str">
        <x:f>INDEX('Prospect Scoring'!$E$5:$E$164,MATCH($A22,'Prospect Scoring'!$Y$5:$Y$164,0))</x:f>
        <x:v>Chemicals</x:v>
      </x:c>
      <x:c r="G22" s="51" t="n">
        <x:f>INDEX('Prospect Scoring'!$X$5:$X$164,MATCH($A22,'Prospect Scoring'!$Y$5:$Y$164,0))</x:f>
        <x:v>78</x:v>
      </x:c>
      <x:c r="H22" s="50" t="str">
        <x:f>INDEX('Prospect Scoring'!$L$5:$L$164,MATCH($A22,'Prospect Scoring'!$Y$5:$Y$164,0))</x:f>
        <x:v>Plant Manager</x:v>
      </x:c>
      <x:c r="I22" s="50" t="str">
        <x:f>INDEX('Prospect Scoring'!$O$5:$O$164,MATCH($A22,'Prospect Scoring'!$Y$5:$Y$164,0))</x:f>
        <x:v>Industrial High-Load</x:v>
      </x:c>
      <x:c r="J22" s="50" t="str">
        <x:f>INDEX('Prospect Scoring'!$P$5:$P$164,MATCH($A22,'Prospect Scoring'!$Y$5:$Y$164,0))</x:f>
        <x:v>Sales Rep A - Massachusetts</x:v>
      </x:c>
    </x:row>
    <x:row r="23">
      <x:c r="A23" s="49" t="n">
        <x:v>19</x:v>
      </x:c>
      <x:c r="B23" s="49" t="str">
        <x:f>INDEX('Prospect Scoring'!$A$5:$A$164,MATCH($A23,'Prospect Scoring'!$Y$5:$Y$164,0))</x:f>
        <x:v>NE-019</x:v>
      </x:c>
      <x:c r="C23" s="50" t="str">
        <x:f>INDEX('Prospect Scoring'!$C$5:$C$164,MATCH($A23,'Prospect Scoring'!$Y$5:$Y$164,0))</x:f>
        <x:v>Rousselot Peabody, Inc. - Peabody, MA</x:v>
      </x:c>
      <x:c r="D23" s="50" t="str">
        <x:f>INDEX('Prospect Scoring'!$D$5:$D$164,MATCH($A23,'Prospect Scoring'!$Y$5:$Y$164,0))</x:f>
        <x:v>ROUSSELOT INC</x:v>
      </x:c>
      <x:c r="E23" s="50" t="str">
        <x:f>INDEX('Prospect Scoring'!$H$5:$H$164,MATCH($A23,'Prospect Scoring'!$Y$5:$Y$164,0))</x:f>
        <x:v>MA</x:v>
      </x:c>
      <x:c r="F23" s="50" t="str">
        <x:f>INDEX('Prospect Scoring'!$E$5:$E$164,MATCH($A23,'Prospect Scoring'!$Y$5:$Y$164,0))</x:f>
        <x:v>Chemicals</x:v>
      </x:c>
      <x:c r="G23" s="51" t="n">
        <x:f>INDEX('Prospect Scoring'!$X$5:$X$164,MATCH($A23,'Prospect Scoring'!$Y$5:$Y$164,0))</x:f>
        <x:v>78</x:v>
      </x:c>
      <x:c r="H23" s="50" t="str">
        <x:f>INDEX('Prospect Scoring'!$L$5:$L$164,MATCH($A23,'Prospect Scoring'!$Y$5:$Y$164,0))</x:f>
        <x:v>Plant Manager</x:v>
      </x:c>
      <x:c r="I23" s="50" t="str">
        <x:f>INDEX('Prospect Scoring'!$O$5:$O$164,MATCH($A23,'Prospect Scoring'!$Y$5:$Y$164,0))</x:f>
        <x:v>Industrial High-Load</x:v>
      </x:c>
      <x:c r="J23" s="50" t="str">
        <x:f>INDEX('Prospect Scoring'!$P$5:$P$164,MATCH($A23,'Prospect Scoring'!$Y$5:$Y$164,0))</x:f>
        <x:v>Sales Rep A - Massachusetts</x:v>
      </x:c>
    </x:row>
    <x:row r="24">
      <x:c r="A24" s="49" t="n">
        <x:v>20</x:v>
      </x:c>
      <x:c r="B24" s="49" t="str">
        <x:f>INDEX('Prospect Scoring'!$A$5:$A$164,MATCH($A24,'Prospect Scoring'!$Y$5:$Y$164,0))</x:f>
        <x:v>NE-020</x:v>
      </x:c>
      <x:c r="C24" s="50" t="str">
        <x:f>INDEX('Prospect Scoring'!$C$5:$C$164,MATCH($A24,'Prospect Scoring'!$Y$5:$Y$164,0))</x:f>
        <x:v>BIOGEN INC - Cambridge, MA</x:v>
      </x:c>
      <x:c r="D24" s="50" t="str">
        <x:f>INDEX('Prospect Scoring'!$D$5:$D$164,MATCH($A24,'Prospect Scoring'!$Y$5:$Y$164,0))</x:f>
        <x:v>BIOGEN INC</x:v>
      </x:c>
      <x:c r="E24" s="50" t="str">
        <x:f>INDEX('Prospect Scoring'!$H$5:$H$164,MATCH($A24,'Prospect Scoring'!$Y$5:$Y$164,0))</x:f>
        <x:v>MA</x:v>
      </x:c>
      <x:c r="F24" s="50" t="str">
        <x:f>INDEX('Prospect Scoring'!$E$5:$E$164,MATCH($A24,'Prospect Scoring'!$Y$5:$Y$164,0))</x:f>
        <x:v>Chemicals</x:v>
      </x:c>
      <x:c r="G24" s="51" t="n">
        <x:f>INDEX('Prospect Scoring'!$X$5:$X$164,MATCH($A24,'Prospect Scoring'!$Y$5:$Y$164,0))</x:f>
        <x:v>78</x:v>
      </x:c>
      <x:c r="H24" s="50" t="str">
        <x:f>INDEX('Prospect Scoring'!$L$5:$L$164,MATCH($A24,'Prospect Scoring'!$Y$5:$Y$164,0))</x:f>
        <x:v>Plant Manager</x:v>
      </x:c>
      <x:c r="I24" s="50" t="str">
        <x:f>INDEX('Prospect Scoring'!$O$5:$O$164,MATCH($A24,'Prospect Scoring'!$Y$5:$Y$164,0))</x:f>
        <x:v>Industrial High-Load</x:v>
      </x:c>
      <x:c r="J24" s="50" t="str">
        <x:f>INDEX('Prospect Scoring'!$P$5:$P$164,MATCH($A24,'Prospect Scoring'!$Y$5:$Y$164,0))</x:f>
        <x:v>Sales Rep A - Massachusetts</x:v>
      </x:c>
    </x:row>
    <x:row r="25">
      <x:c r="A25" s="49" t="n">
        <x:v>21</x:v>
      </x:c>
      <x:c r="B25" s="49" t="str">
        <x:f>INDEX('Prospect Scoring'!$A$5:$A$164,MATCH($A25,'Prospect Scoring'!$Y$5:$Y$164,0))</x:f>
        <x:v>NE-021</x:v>
      </x:c>
      <x:c r="C25" s="50" t="str">
        <x:f>INDEX('Prospect Scoring'!$C$5:$C$164,MATCH($A25,'Prospect Scoring'!$Y$5:$Y$164,0))</x:f>
        <x:v>UMASS MEDICAL SCHOOL - Worcester, MA</x:v>
      </x:c>
      <x:c r="D25" s="50" t="str">
        <x:f>INDEX('Prospect Scoring'!$D$5:$D$164,MATCH($A25,'Prospect Scoring'!$Y$5:$Y$164,0))</x:f>
        <x:v>COMMONWEALTH OF MASSACHUSETTS</x:v>
      </x:c>
      <x:c r="E25" s="50" t="str">
        <x:f>INDEX('Prospect Scoring'!$H$5:$H$164,MATCH($A25,'Prospect Scoring'!$Y$5:$Y$164,0))</x:f>
        <x:v>MA</x:v>
      </x:c>
      <x:c r="F25" s="50" t="str">
        <x:f>INDEX('Prospect Scoring'!$E$5:$E$164,MATCH($A25,'Prospect Scoring'!$Y$5:$Y$164,0))</x:f>
        <x:v>Other</x:v>
      </x:c>
      <x:c r="G25" s="51" t="n">
        <x:f>INDEX('Prospect Scoring'!$X$5:$X$164,MATCH($A25,'Prospect Scoring'!$Y$5:$Y$164,0))</x:f>
        <x:v>77</x:v>
      </x:c>
      <x:c r="H25" s="50" t="str">
        <x:f>INDEX('Prospect Scoring'!$L$5:$L$164,MATCH($A25,'Prospect Scoring'!$Y$5:$Y$164,0))</x:f>
        <x:v>Director of Facilities</x:v>
      </x:c>
      <x:c r="I25" s="50" t="str">
        <x:f>INDEX('Prospect Scoring'!$O$5:$O$164,MATCH($A25,'Prospect Scoring'!$Y$5:$Y$164,0))</x:f>
        <x:v>Facilities and Institutions</x:v>
      </x:c>
      <x:c r="J25" s="50" t="str">
        <x:f>INDEX('Prospect Scoring'!$P$5:$P$164,MATCH($A25,'Prospect Scoring'!$Y$5:$Y$164,0))</x:f>
        <x:v>Sales Rep A - Massachusetts</x:v>
      </x:c>
    </x:row>
    <x:row r="26">
      <x:c r="A26" s="49" t="n">
        <x:v>22</x:v>
      </x:c>
      <x:c r="B26" s="49" t="str">
        <x:f>INDEX('Prospect Scoring'!$A$5:$A$164,MATCH($A26,'Prospect Scoring'!$Y$5:$Y$164,0))</x:f>
        <x:v>NE-022</x:v>
      </x:c>
      <x:c r="C26" s="50" t="str">
        <x:f>INDEX('Prospect Scoring'!$C$5:$C$164,MATCH($A26,'Prospect Scoring'!$Y$5:$Y$164,0))</x:f>
        <x:v>The President and Fellows of Harvard University (Cambridge Allston Blackstone) - Cambridge, MA</x:v>
      </x:c>
      <x:c r="D26" s="50" t="str">
        <x:f>INDEX('Prospect Scoring'!$D$5:$D$164,MATCH($A26,'Prospect Scoring'!$Y$5:$Y$164,0))</x:f>
        <x:v>PRESIDENT &amp; FELLOWS OF HARVARD COLLEGE</x:v>
      </x:c>
      <x:c r="E26" s="50" t="str">
        <x:f>INDEX('Prospect Scoring'!$H$5:$H$164,MATCH($A26,'Prospect Scoring'!$Y$5:$Y$164,0))</x:f>
        <x:v>MA</x:v>
      </x:c>
      <x:c r="F26" s="50" t="str">
        <x:f>INDEX('Prospect Scoring'!$E$5:$E$164,MATCH($A26,'Prospect Scoring'!$Y$5:$Y$164,0))</x:f>
        <x:v>Other</x:v>
      </x:c>
      <x:c r="G26" s="51" t="n">
        <x:f>INDEX('Prospect Scoring'!$X$5:$X$164,MATCH($A26,'Prospect Scoring'!$Y$5:$Y$164,0))</x:f>
        <x:v>77</x:v>
      </x:c>
      <x:c r="H26" s="50" t="str">
        <x:f>INDEX('Prospect Scoring'!$L$5:$L$164,MATCH($A26,'Prospect Scoring'!$Y$5:$Y$164,0))</x:f>
        <x:v>Director of Facilities</x:v>
      </x:c>
      <x:c r="I26" s="50" t="str">
        <x:f>INDEX('Prospect Scoring'!$O$5:$O$164,MATCH($A26,'Prospect Scoring'!$Y$5:$Y$164,0))</x:f>
        <x:v>Facilities and Institutions</x:v>
      </x:c>
      <x:c r="J26" s="50" t="str">
        <x:f>INDEX('Prospect Scoring'!$P$5:$P$164,MATCH($A26,'Prospect Scoring'!$Y$5:$Y$164,0))</x:f>
        <x:v>Sales Rep A - Massachusetts</x:v>
      </x:c>
    </x:row>
    <x:row r="27">
      <x:c r="A27" s="49" t="n">
        <x:v>23</x:v>
      </x:c>
      <x:c r="B27" s="49" t="str">
        <x:f>INDEX('Prospect Scoring'!$A$5:$A$164,MATCH($A27,'Prospect Scoring'!$Y$5:$Y$164,0))</x:f>
        <x:v>NE-023</x:v>
      </x:c>
      <x:c r="C27" s="50" t="str">
        <x:f>INDEX('Prospect Scoring'!$C$5:$C$164,MATCH($A27,'Prospect Scoring'!$Y$5:$Y$164,0))</x:f>
        <x:v>Georgia-Pacific Gypsum - Newington, NH</x:v>
      </x:c>
      <x:c r="D27" s="50" t="str">
        <x:f>INDEX('Prospect Scoring'!$D$5:$D$164,MATCH($A27,'Prospect Scoring'!$Y$5:$Y$164,0))</x:f>
        <x:v>KOCH INDUSTRIES INC</x:v>
      </x:c>
      <x:c r="E27" s="50" t="str">
        <x:f>INDEX('Prospect Scoring'!$H$5:$H$164,MATCH($A27,'Prospect Scoring'!$Y$5:$Y$164,0))</x:f>
        <x:v>NH</x:v>
      </x:c>
      <x:c r="F27" s="50" t="str">
        <x:f>INDEX('Prospect Scoring'!$E$5:$E$164,MATCH($A27,'Prospect Scoring'!$Y$5:$Y$164,0))</x:f>
        <x:v>Minerals</x:v>
      </x:c>
      <x:c r="G27" s="51" t="n">
        <x:f>INDEX('Prospect Scoring'!$X$5:$X$164,MATCH($A27,'Prospect Scoring'!$Y$5:$Y$164,0))</x:f>
        <x:v>77</x:v>
      </x:c>
      <x:c r="H27" s="50" t="str">
        <x:f>INDEX('Prospect Scoring'!$L$5:$L$164,MATCH($A27,'Prospect Scoring'!$Y$5:$Y$164,0))</x:f>
        <x:v>Plant Manager</x:v>
      </x:c>
      <x:c r="I27" s="50" t="str">
        <x:f>INDEX('Prospect Scoring'!$O$5:$O$164,MATCH($A27,'Prospect Scoring'!$Y$5:$Y$164,0))</x:f>
        <x:v>Industrial High-Load</x:v>
      </x:c>
      <x:c r="J27" s="50" t="str">
        <x:f>INDEX('Prospect Scoring'!$P$5:$P$164,MATCH($A27,'Prospect Scoring'!$Y$5:$Y$164,0))</x:f>
        <x:v>Sales Rep C - Northern New England</x:v>
      </x:c>
    </x:row>
    <x:row r="28">
      <x:c r="A28" s="49" t="n">
        <x:v>24</x:v>
      </x:c>
      <x:c r="B28" s="49" t="str">
        <x:f>INDEX('Prospect Scoring'!$A$5:$A$164,MATCH($A28,'Prospect Scoring'!$Y$5:$Y$164,0))</x:f>
        <x:v>NE-024</x:v>
      </x:c>
      <x:c r="C28" s="50" t="str">
        <x:f>INDEX('Prospect Scoring'!$C$5:$C$164,MATCH($A28,'Prospect Scoring'!$Y$5:$Y$164,0))</x:f>
        <x:v>Analog Devices Inc - Willmington, MA</x:v>
      </x:c>
      <x:c r="D28" s="50" t="str">
        <x:f>INDEX('Prospect Scoring'!$D$5:$D$164,MATCH($A28,'Prospect Scoring'!$Y$5:$Y$164,0))</x:f>
        <x:v>ANALOG DEVICES INC</x:v>
      </x:c>
      <x:c r="E28" s="50" t="str">
        <x:f>INDEX('Prospect Scoring'!$H$5:$H$164,MATCH($A28,'Prospect Scoring'!$Y$5:$Y$164,0))</x:f>
        <x:v>MA</x:v>
      </x:c>
      <x:c r="F28" s="50" t="str">
        <x:f>INDEX('Prospect Scoring'!$E$5:$E$164,MATCH($A28,'Prospect Scoring'!$Y$5:$Y$164,0))</x:f>
        <x:v>Other</x:v>
      </x:c>
      <x:c r="G28" s="51" t="n">
        <x:f>INDEX('Prospect Scoring'!$X$5:$X$164,MATCH($A28,'Prospect Scoring'!$Y$5:$Y$164,0))</x:f>
        <x:v>77</x:v>
      </x:c>
      <x:c r="H28" s="50" t="str">
        <x:f>INDEX('Prospect Scoring'!$L$5:$L$164,MATCH($A28,'Prospect Scoring'!$Y$5:$Y$164,0))</x:f>
        <x:v>Director of Facilities</x:v>
      </x:c>
      <x:c r="I28" s="50" t="str">
        <x:f>INDEX('Prospect Scoring'!$O$5:$O$164,MATCH($A28,'Prospect Scoring'!$Y$5:$Y$164,0))</x:f>
        <x:v>Facilities and Institutions</x:v>
      </x:c>
      <x:c r="J28" s="50" t="str">
        <x:f>INDEX('Prospect Scoring'!$P$5:$P$164,MATCH($A28,'Prospect Scoring'!$Y$5:$Y$164,0))</x:f>
        <x:v>Sales Rep A - Massachusetts</x:v>
      </x:c>
    </x:row>
    <x:row r="29">
      <x:c r="A29" s="49" t="n">
        <x:v>25</x:v>
      </x:c>
      <x:c r="B29" s="49" t="str">
        <x:f>INDEX('Prospect Scoring'!$A$5:$A$164,MATCH($A29,'Prospect Scoring'!$Y$5:$Y$164,0))</x:f>
        <x:v>NE-025</x:v>
      </x:c>
      <x:c r="C29" s="50" t="str">
        <x:f>INDEX('Prospect Scoring'!$C$5:$C$164,MATCH($A29,'Prospect Scoring'!$Y$5:$Y$164,0))</x:f>
        <x:v>SOLUTIA INC - INDIAN ORCHARD PLANT - Springfield, MA</x:v>
      </x:c>
      <x:c r="D29" s="50" t="str">
        <x:f>INDEX('Prospect Scoring'!$D$5:$D$164,MATCH($A29,'Prospect Scoring'!$Y$5:$Y$164,0))</x:f>
        <x:v>EASTMAN CHEMICAL CO</x:v>
      </x:c>
      <x:c r="E29" s="50" t="str">
        <x:f>INDEX('Prospect Scoring'!$H$5:$H$164,MATCH($A29,'Prospect Scoring'!$Y$5:$Y$164,0))</x:f>
        <x:v>MA</x:v>
      </x:c>
      <x:c r="F29" s="50" t="str">
        <x:f>INDEX('Prospect Scoring'!$E$5:$E$164,MATCH($A29,'Prospect Scoring'!$Y$5:$Y$164,0))</x:f>
        <x:v>Other</x:v>
      </x:c>
      <x:c r="G29" s="51" t="n">
        <x:f>INDEX('Prospect Scoring'!$X$5:$X$164,MATCH($A29,'Prospect Scoring'!$Y$5:$Y$164,0))</x:f>
        <x:v>77</x:v>
      </x:c>
      <x:c r="H29" s="50" t="str">
        <x:f>INDEX('Prospect Scoring'!$L$5:$L$164,MATCH($A29,'Prospect Scoring'!$Y$5:$Y$164,0))</x:f>
        <x:v>Director of Facilities</x:v>
      </x:c>
      <x:c r="I29" s="50" t="str">
        <x:f>INDEX('Prospect Scoring'!$O$5:$O$164,MATCH($A29,'Prospect Scoring'!$Y$5:$Y$164,0))</x:f>
        <x:v>Facilities and Institutions</x:v>
      </x:c>
      <x:c r="J29" s="50" t="str">
        <x:f>INDEX('Prospect Scoring'!$P$5:$P$164,MATCH($A29,'Prospect Scoring'!$Y$5:$Y$164,0))</x:f>
        <x:v>Sales Rep A - Massachusetts</x:v>
      </x:c>
    </x:row>
    <x:row r="30">
      <x:c r="A30" s="49" t="n">
        <x:v>26</x:v>
      </x:c>
      <x:c r="B30" s="49" t="str">
        <x:f>INDEX('Prospect Scoring'!$A$5:$A$164,MATCH($A30,'Prospect Scoring'!$Y$5:$Y$164,0))</x:f>
        <x:v>NE-026</x:v>
      </x:c>
      <x:c r="C30" s="50" t="str">
        <x:f>INDEX('Prospect Scoring'!$C$5:$C$164,MATCH($A30,'Prospect Scoring'!$Y$5:$Y$164,0))</x:f>
        <x:v>SAINT-GOBAIN ABRASIVES and SAINT-GOBAIN CERAMICS &amp; PLASTICS, INC. - Worcester, MA</x:v>
      </x:c>
      <x:c r="D30" s="50" t="str">
        <x:f>INDEX('Prospect Scoring'!$D$5:$D$164,MATCH($A30,'Prospect Scoring'!$Y$5:$Y$164,0))</x:f>
        <x:v>SAINT-GOBAIN CORP</x:v>
      </x:c>
      <x:c r="E30" s="50" t="str">
        <x:f>INDEX('Prospect Scoring'!$H$5:$H$164,MATCH($A30,'Prospect Scoring'!$Y$5:$Y$164,0))</x:f>
        <x:v>MA</x:v>
      </x:c>
      <x:c r="F30" s="50" t="str">
        <x:f>INDEX('Prospect Scoring'!$E$5:$E$164,MATCH($A30,'Prospect Scoring'!$Y$5:$Y$164,0))</x:f>
        <x:v>Minerals</x:v>
      </x:c>
      <x:c r="G30" s="51" t="n">
        <x:f>INDEX('Prospect Scoring'!$X$5:$X$164,MATCH($A30,'Prospect Scoring'!$Y$5:$Y$164,0))</x:f>
        <x:v>76</x:v>
      </x:c>
      <x:c r="H30" s="50" t="str">
        <x:f>INDEX('Prospect Scoring'!$L$5:$L$164,MATCH($A30,'Prospect Scoring'!$Y$5:$Y$164,0))</x:f>
        <x:v>Plant Manager</x:v>
      </x:c>
      <x:c r="I30" s="50" t="str">
        <x:f>INDEX('Prospect Scoring'!$O$5:$O$164,MATCH($A30,'Prospect Scoring'!$Y$5:$Y$164,0))</x:f>
        <x:v>Industrial High-Load</x:v>
      </x:c>
      <x:c r="J30" s="50" t="str">
        <x:f>INDEX('Prospect Scoring'!$P$5:$P$164,MATCH($A30,'Prospect Scoring'!$Y$5:$Y$164,0))</x:f>
        <x:v>Sales Rep A - Massachusetts</x:v>
      </x:c>
    </x:row>
    <x:row r="31">
      <x:c r="A31" s="49" t="n">
        <x:v>27</x:v>
      </x:c>
      <x:c r="B31" s="49" t="str">
        <x:f>INDEX('Prospect Scoring'!$A$5:$A$164,MATCH($A31,'Prospect Scoring'!$Y$5:$Y$164,0))</x:f>
        <x:v>NE-027</x:v>
      </x:c>
      <x:c r="C31" s="50" t="str">
        <x:f>INDEX('Prospect Scoring'!$C$5:$C$164,MATCH($A31,'Prospect Scoring'!$Y$5:$Y$164,0))</x:f>
        <x:v>Gorham Acquisition LLC - Gorham, NH</x:v>
      </x:c>
      <x:c r="D31" s="50" t="str">
        <x:f>INDEX('Prospect Scoring'!$D$5:$D$164,MATCH($A31,'Prospect Scoring'!$Y$5:$Y$164,0))</x:f>
        <x:v>GORHAM ACQUISITION LLC</x:v>
      </x:c>
      <x:c r="E31" s="50" t="str">
        <x:f>INDEX('Prospect Scoring'!$H$5:$H$164,MATCH($A31,'Prospect Scoring'!$Y$5:$Y$164,0))</x:f>
        <x:v>NH</x:v>
      </x:c>
      <x:c r="F31" s="50" t="str">
        <x:f>INDEX('Prospect Scoring'!$E$5:$E$164,MATCH($A31,'Prospect Scoring'!$Y$5:$Y$164,0))</x:f>
        <x:v>Pulp and Paper</x:v>
      </x:c>
      <x:c r="G31" s="51" t="n">
        <x:f>INDEX('Prospect Scoring'!$X$5:$X$164,MATCH($A31,'Prospect Scoring'!$Y$5:$Y$164,0))</x:f>
        <x:v>76</x:v>
      </x:c>
      <x:c r="H31" s="50" t="str">
        <x:f>INDEX('Prospect Scoring'!$L$5:$L$164,MATCH($A31,'Prospect Scoring'!$Y$5:$Y$164,0))</x:f>
        <x:v>Energy Manager</x:v>
      </x:c>
      <x:c r="I31" s="50" t="str">
        <x:f>INDEX('Prospect Scoring'!$O$5:$O$164,MATCH($A31,'Prospect Scoring'!$Y$5:$Y$164,0))</x:f>
        <x:v>Industrial High-Load</x:v>
      </x:c>
      <x:c r="J31" s="50" t="str">
        <x:f>INDEX('Prospect Scoring'!$P$5:$P$164,MATCH($A31,'Prospect Scoring'!$Y$5:$Y$164,0))</x:f>
        <x:v>Sales Rep C - Northern New England</x:v>
      </x:c>
    </x:row>
    <x:row r="32">
      <x:c r="A32" s="49" t="n">
        <x:v>28</x:v>
      </x:c>
      <x:c r="B32" s="49" t="str">
        <x:f>INDEX('Prospect Scoring'!$A$5:$A$164,MATCH($A32,'Prospect Scoring'!$Y$5:$Y$164,0))</x:f>
        <x:v>NE-028</x:v>
      </x:c>
      <x:c r="C32" s="50" t="str">
        <x:f>INDEX('Prospect Scoring'!$C$5:$C$164,MATCH($A32,'Prospect Scoring'!$Y$5:$Y$164,0))</x:f>
        <x:v>WM of NH - TREE (Turnkey Landfill) - Gonic, NH</x:v>
      </x:c>
      <x:c r="D32" s="50" t="str">
        <x:f>INDEX('Prospect Scoring'!$D$5:$D$164,MATCH($A32,'Prospect Scoring'!$Y$5:$Y$164,0))</x:f>
        <x:v>WASTE MANAGEMENT INC</x:v>
      </x:c>
      <x:c r="E32" s="50" t="str">
        <x:f>INDEX('Prospect Scoring'!$H$5:$H$164,MATCH($A32,'Prospect Scoring'!$Y$5:$Y$164,0))</x:f>
        <x:v>NH</x:v>
      </x:c>
      <x:c r="F32" s="50" t="str">
        <x:f>INDEX('Prospect Scoring'!$E$5:$E$164,MATCH($A32,'Prospect Scoring'!$Y$5:$Y$164,0))</x:f>
        <x:v>Waste</x:v>
      </x:c>
      <x:c r="G32" s="51" t="n">
        <x:f>INDEX('Prospect Scoring'!$X$5:$X$164,MATCH($A32,'Prospect Scoring'!$Y$5:$Y$164,0))</x:f>
        <x:v>75</x:v>
      </x:c>
      <x:c r="H32" s="50" t="str">
        <x:f>INDEX('Prospect Scoring'!$L$5:$L$164,MATCH($A32,'Prospect Scoring'!$Y$5:$Y$164,0))</x:f>
        <x:v>Director of Operations</x:v>
      </x:c>
      <x:c r="I32" s="50" t="str">
        <x:f>INDEX('Prospect Scoring'!$O$5:$O$164,MATCH($A32,'Prospect Scoring'!$Y$5:$Y$164,0))</x:f>
        <x:v>Waste and Environmental</x:v>
      </x:c>
      <x:c r="J32" s="50" t="str">
        <x:f>INDEX('Prospect Scoring'!$P$5:$P$164,MATCH($A32,'Prospect Scoring'!$Y$5:$Y$164,0))</x:f>
        <x:v>Sales Rep C - Northern New England</x:v>
      </x:c>
    </x:row>
    <x:row r="33">
      <x:c r="A33" s="49" t="n">
        <x:v>29</x:v>
      </x:c>
      <x:c r="B33" s="49" t="str">
        <x:f>INDEX('Prospect Scoring'!$A$5:$A$164,MATCH($A33,'Prospect Scoring'!$Y$5:$Y$164,0))</x:f>
        <x:v>NE-029</x:v>
      </x:c>
      <x:c r="C33" s="50" t="str">
        <x:f>INDEX('Prospect Scoring'!$C$5:$C$164,MATCH($A33,'Prospect Scoring'!$Y$5:$Y$164,0))</x:f>
        <x:v>SOUTHEASTERN CT RESOURCE RECOVERY FACILITY - Preston, CT</x:v>
      </x:c>
      <x:c r="D33" s="50" t="str">
        <x:f>INDEX('Prospect Scoring'!$D$5:$D$164,MATCH($A33,'Prospect Scoring'!$Y$5:$Y$164,0))</x:f>
        <x:v>COVANTA HOLDING CORP</x:v>
      </x:c>
      <x:c r="E33" s="50" t="str">
        <x:f>INDEX('Prospect Scoring'!$H$5:$H$164,MATCH($A33,'Prospect Scoring'!$Y$5:$Y$164,0))</x:f>
        <x:v>CT</x:v>
      </x:c>
      <x:c r="F33" s="50" t="str">
        <x:f>INDEX('Prospect Scoring'!$E$5:$E$164,MATCH($A33,'Prospect Scoring'!$Y$5:$Y$164,0))</x:f>
        <x:v>Waste</x:v>
      </x:c>
      <x:c r="G33" s="51" t="n">
        <x:f>INDEX('Prospect Scoring'!$X$5:$X$164,MATCH($A33,'Prospect Scoring'!$Y$5:$Y$164,0))</x:f>
        <x:v>75</x:v>
      </x:c>
      <x:c r="H33" s="50" t="str">
        <x:f>INDEX('Prospect Scoring'!$L$5:$L$164,MATCH($A33,'Prospect Scoring'!$Y$5:$Y$164,0))</x:f>
        <x:v>Director of Operations</x:v>
      </x:c>
      <x:c r="I33" s="50" t="str">
        <x:f>INDEX('Prospect Scoring'!$O$5:$O$164,MATCH($A33,'Prospect Scoring'!$Y$5:$Y$164,0))</x:f>
        <x:v>Waste and Environmental</x:v>
      </x:c>
      <x:c r="J33" s="50" t="str">
        <x:f>INDEX('Prospect Scoring'!$P$5:$P$164,MATCH($A33,'Prospect Scoring'!$Y$5:$Y$164,0))</x:f>
        <x:v>Sales Rep B - Connecticut/Rhode Island</x:v>
      </x:c>
    </x:row>
    <x:row r="34">
      <x:c r="A34" s="49" t="n">
        <x:v>30</x:v>
      </x:c>
      <x:c r="B34" s="49" t="str">
        <x:f>INDEX('Prospect Scoring'!$A$5:$A$164,MATCH($A34,'Prospect Scoring'!$Y$5:$Y$164,0))</x:f>
        <x:v>NE-030</x:v>
      </x:c>
      <x:c r="C34" s="50" t="str">
        <x:f>INDEX('Prospect Scoring'!$C$5:$C$164,MATCH($A34,'Prospect Scoring'!$Y$5:$Y$164,0))</x:f>
        <x:v>GLOBALFOUNDRIES U.S. 2 LLC - Vermont Facility - Essex Junction, VT</x:v>
      </x:c>
      <x:c r="D34" s="50" t="str">
        <x:f>INDEX('Prospect Scoring'!$D$5:$D$164,MATCH($A34,'Prospect Scoring'!$Y$5:$Y$164,0))</x:f>
        <x:v>GLOBALFOUNDRIES US INC</x:v>
      </x:c>
      <x:c r="E34" s="50" t="str">
        <x:f>INDEX('Prospect Scoring'!$H$5:$H$164,MATCH($A34,'Prospect Scoring'!$Y$5:$Y$164,0))</x:f>
        <x:v>VT</x:v>
      </x:c>
      <x:c r="F34" s="50" t="str">
        <x:f>INDEX('Prospect Scoring'!$E$5:$E$164,MATCH($A34,'Prospect Scoring'!$Y$5:$Y$164,0))</x:f>
        <x:v>Other</x:v>
      </x:c>
      <x:c r="G34" s="51" t="n">
        <x:f>INDEX('Prospect Scoring'!$X$5:$X$164,MATCH($A34,'Prospect Scoring'!$Y$5:$Y$164,0))</x:f>
        <x:v>74</x:v>
      </x:c>
      <x:c r="H34" s="50" t="str">
        <x:f>INDEX('Prospect Scoring'!$L$5:$L$164,MATCH($A34,'Prospect Scoring'!$Y$5:$Y$164,0))</x:f>
        <x:v>Director of Facilities</x:v>
      </x:c>
      <x:c r="I34" s="50" t="str">
        <x:f>INDEX('Prospect Scoring'!$O$5:$O$164,MATCH($A34,'Prospect Scoring'!$Y$5:$Y$164,0))</x:f>
        <x:v>Facilities and Institutions</x:v>
      </x:c>
      <x:c r="J34" s="50" t="str">
        <x:f>INDEX('Prospect Scoring'!$P$5:$P$164,MATCH($A34,'Prospect Scoring'!$Y$5:$Y$164,0))</x:f>
        <x:v>Sales Rep C - Northern New England</x:v>
      </x:c>
    </x:row>
  </x:sheetData>
  <x:mergeCells>
    <x:mergeCell ref="A1:J1"/>
    <x:mergeCell ref="A2:J2"/>
  </x:mergeCells>
  <x:conditionalFormatting sqref="G5:G34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{052967EC-A3CD-6067-A29E-021CE56DFD8F}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e61ef9d30f642e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52967EC-A3CD-6067-A29E-021CE56DFD8F}">
            <x14:dataBar gradient="1">
              <x14:cfvo type="min"/>
              <x14:cfvo type="max"/>
              <x14:fillColor rgb="FF0F766E"/>
            </x14:dataBar>
          </x14:cfRule>
          <xm:sqref>G5:G34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46" hidden="0" customWidth="1"/>
    <x:col min="4" max="4" width="14" hidden="0" customWidth="1"/>
    <x:col min="5" max="5" width="31" hidden="0" customWidth="1"/>
    <x:col min="6" max="6" width="25" hidden="0" customWidth="1"/>
    <x:col min="7" max="7" width="18" hidden="0" customWidth="1"/>
    <x:col min="8" max="8" width="9" hidden="0" customWidth="1"/>
    <x:col min="9" max="9" width="10" hidden="0" customWidth="1"/>
    <x:col min="10" max="10" width="18" hidden="0" customWidth="1"/>
    <x:col min="11" max="11" width="18" hidden="0" customWidth="1"/>
    <x:col min="12" max="12" width="42" hidden="0" customWidth="1"/>
    <x:col min="13" max="13" width="38" hidden="0" customWidth="1"/>
    <x:col min="14" max="14" width="14" hidden="0" customWidth="1"/>
  </x:cols>
  <x:sheetData>
    <x:row r="1" ht="30" customHeight="1">
      <x:c r="A1" s="3" t="str">
        <x:v>Raw Prospect Data</x:v>
      </x:c>
      <x:c r="B1" s="3" t="str">
        <x:v>Raw Prospect Data</x:v>
      </x:c>
      <x:c r="C1" s="3" t="str">
        <x:v>Raw Prospect Data</x:v>
      </x:c>
      <x:c r="D1" s="3" t="str">
        <x:v>Raw Prospect Data</x:v>
      </x:c>
      <x:c r="E1" s="3" t="str">
        <x:v>Raw Prospect Data</x:v>
      </x:c>
      <x:c r="F1" s="3" t="str">
        <x:v>Raw Prospect Data</x:v>
      </x:c>
      <x:c r="G1" s="3" t="str">
        <x:v>Raw Prospect Data</x:v>
      </x:c>
      <x:c r="H1" s="3" t="str">
        <x:v>Raw Prospect Data</x:v>
      </x:c>
      <x:c r="I1" s="3" t="str">
        <x:v>Raw Prospect Data</x:v>
      </x:c>
      <x:c r="J1" s="3" t="str">
        <x:v>Raw Prospect Data</x:v>
      </x:c>
      <x:c r="K1" s="3" t="str">
        <x:v>Raw Prospect Data</x:v>
      </x:c>
      <x:c r="L1" s="3" t="str">
        <x:v>Raw Prospect Data</x:v>
      </x:c>
      <x:c r="M1" s="3" t="str">
        <x:v>Raw Prospect Data</x:v>
      </x:c>
      <x:c r="N1" s="3" t="str">
        <x:v>Raw Prospect Data</x:v>
      </x:c>
    </x:row>
    <x:row r="2" ht="28" customHeight="1">
      <x:c r="A2" s="7" t="str">
        <x:v>165 rows: 160 EPA facility records plus 5 clearly labeled synthetic duplicates used to demonstrate CRM deduplication.</x:v>
      </x:c>
      <x:c r="B2" s="7" t="str">
        <x:v>165 rows: 160 EPA facility records plus 5 clearly labeled synthetic duplicates used to demonstrate CRM deduplication.</x:v>
      </x:c>
      <x:c r="C2" s="7" t="str">
        <x:v>165 rows: 160 EPA facility records plus 5 clearly labeled synthetic duplicates used to demonstrate CRM deduplication.</x:v>
      </x:c>
      <x:c r="D2" s="7" t="str">
        <x:v>165 rows: 160 EPA facility records plus 5 clearly labeled synthetic duplicates used to demonstrate CRM deduplication.</x:v>
      </x:c>
      <x:c r="E2" s="7" t="str">
        <x:v>165 rows: 160 EPA facility records plus 5 clearly labeled synthetic duplicates used to demonstrate CRM deduplication.</x:v>
      </x:c>
      <x:c r="F2" s="7" t="str">
        <x:v>165 rows: 160 EPA facility records plus 5 clearly labeled synthetic duplicates used to demonstrate CRM deduplication.</x:v>
      </x:c>
      <x:c r="G2" s="7" t="str">
        <x:v>165 rows: 160 EPA facility records plus 5 clearly labeled synthetic duplicates used to demonstrate CRM deduplication.</x:v>
      </x:c>
      <x:c r="H2" s="7" t="str">
        <x:v>165 rows: 160 EPA facility records plus 5 clearly labeled synthetic duplicates used to demonstrate CRM deduplication.</x:v>
      </x:c>
      <x:c r="I2" s="7" t="str">
        <x:v>165 rows: 160 EPA facility records plus 5 clearly labeled synthetic duplicates used to demonstrate CRM deduplication.</x:v>
      </x:c>
      <x:c r="J2" s="7" t="str">
        <x:v>165 rows: 160 EPA facility records plus 5 clearly labeled synthetic duplicates used to demonstrate CRM deduplication.</x:v>
      </x:c>
      <x:c r="K2" s="7" t="str">
        <x:v>165 rows: 160 EPA facility records plus 5 clearly labeled synthetic duplicates used to demonstrate CRM deduplication.</x:v>
      </x:c>
      <x:c r="L2" s="7" t="str">
        <x:v>165 rows: 160 EPA facility records plus 5 clearly labeled synthetic duplicates used to demonstrate CRM deduplication.</x:v>
      </x:c>
      <x:c r="M2" s="7" t="str">
        <x:v>165 rows: 160 EPA facility records plus 5 clearly labeled synthetic duplicates used to demonstrate CRM deduplication.</x:v>
      </x:c>
      <x:c r="N2" s="7" t="str">
        <x:v>165 rows: 160 EPA facility records plus 5 clearly labeled synthetic duplicates used to demonstrate CRM deduplication.</x:v>
      </x:c>
    </x:row>
    <x:row r="4" ht="32" customHeight="1">
      <x:c r="A4" s="13" t="str">
        <x:v>Raw Record ID</x:v>
      </x:c>
      <x:c r="B4" s="13" t="str">
        <x:v>External ID</x:v>
      </x:c>
      <x:c r="C4" s="13" t="str">
        <x:v>Account Name</x:v>
      </x:c>
      <x:c r="D4" s="13" t="str">
        <x:v>EPA Facility ID</x:v>
      </x:c>
      <x:c r="E4" s="13" t="str">
        <x:v>Parent Company</x:v>
      </x:c>
      <x:c r="F4" s="13" t="str">
        <x:v>Industry Sector</x:v>
      </x:c>
      <x:c r="G4" s="13" t="str">
        <x:v>City</x:v>
      </x:c>
      <x:c r="H4" s="13" t="str">
        <x:v>State</x:v>
      </x:c>
      <x:c r="I4" s="13" t="str">
        <x:v>ZIP</x:v>
      </x:c>
      <x:c r="J4" s="13" t="str">
        <x:v>Emissions (mtCO2e)</x:v>
      </x:c>
      <x:c r="K4" s="13" t="str">
        <x:v>Synthetic Duplicate</x:v>
      </x:c>
      <x:c r="L4" s="13" t="str">
        <x:v>Duplicate Scenario</x:v>
      </x:c>
      <x:c r="M4" s="13" t="str">
        <x:v>Source URL</x:v>
      </x:c>
      <x:c r="N4" s="13" t="str">
        <x:v>Research Date</x:v>
      </x:c>
    </x:row>
    <x:row r="5">
      <x:c r="A5" s="48" t="str">
        <x:v>RAW-001</x:v>
      </x:c>
      <x:c r="B5" s="48" t="str">
        <x:v>GHGRP-1006366</x:v>
      </x:c>
      <x:c r="C5" s="50" t="str">
        <x:v>ND Paper Inc - Rumford Division - Rumford, ME</x:v>
      </x:c>
      <x:c r="D5" s="50" t="n">
        <x:v>1006366</x:v>
      </x:c>
      <x:c r="E5" s="50" t="str">
        <x:v>ND PAPER LLC</x:v>
      </x:c>
      <x:c r="F5" s="50" t="str">
        <x:v>Pulp and Paper</x:v>
      </x:c>
      <x:c r="G5" s="48" t="str">
        <x:v>Rumford</x:v>
      </x:c>
      <x:c r="H5" s="48" t="str">
        <x:v>ME</x:v>
      </x:c>
      <x:c r="I5" s="48" t="str">
        <x:v>04276</x:v>
      </x:c>
      <x:c r="J5" s="52" t="n">
        <x:v>416873.85</x:v>
      </x:c>
      <x:c r="K5" s="48" t="str">
        <x:v>No</x:v>
      </x:c>
      <x:c r="L5" s="50" t="str"/>
      <x:c r="M5" s="50" t="str">
        <x:v>https://www.epa.gov/ghgreporting/data-sets</x:v>
      </x:c>
      <x:c r="N5" s="53" t="n">
        <x:v>46233</x:v>
      </x:c>
    </x:row>
    <x:row r="6">
      <x:c r="A6" s="48" t="str">
        <x:v>RAW-002</x:v>
      </x:c>
      <x:c r="B6" s="48" t="str">
        <x:v>GHGRP-1003048</x:v>
      </x:c>
      <x:c r="C6" s="50" t="str">
        <x:v>Sappi North America, Inc. - Somerset Operations - Skowhegan, ME</x:v>
      </x:c>
      <x:c r="D6" s="50" t="n">
        <x:v>1003048</x:v>
      </x:c>
      <x:c r="E6" s="50" t="str">
        <x:v>SAPPI NORTH AMERICA INC</x:v>
      </x:c>
      <x:c r="F6" s="50" t="str">
        <x:v>Pulp and Paper,Waste</x:v>
      </x:c>
      <x:c r="G6" s="48" t="str">
        <x:v>Skowhegan</x:v>
      </x:c>
      <x:c r="H6" s="48" t="str">
        <x:v>ME</x:v>
      </x:c>
      <x:c r="I6" s="48" t="str">
        <x:v>04976</x:v>
      </x:c>
      <x:c r="J6" s="52" t="n">
        <x:v>316253.638</x:v>
      </x:c>
      <x:c r="K6" s="48" t="str">
        <x:v>No</x:v>
      </x:c>
      <x:c r="L6" s="50" t="str"/>
      <x:c r="M6" s="50" t="str">
        <x:v>https://www.epa.gov/ghgreporting/data-sets</x:v>
      </x:c>
      <x:c r="N6" s="53" t="n">
        <x:v>46233</x:v>
      </x:c>
    </x:row>
    <x:row r="7">
      <x:c r="A7" s="48" t="str">
        <x:v>RAW-003</x:v>
      </x:c>
      <x:c r="B7" s="48" t="str">
        <x:v>GHGRP-1001889</x:v>
      </x:c>
      <x:c r="C7" s="50" t="str">
        <x:v>WOODLAND PULP LLC - Baileyville, ME</x:v>
      </x:c>
      <x:c r="D7" s="50" t="n">
        <x:v>1001889</x:v>
      </x:c>
      <x:c r="E7" s="50" t="str">
        <x:v>INTERNATIONAL GRAND INVESTMENT CORP</x:v>
      </x:c>
      <x:c r="F7" s="50" t="str">
        <x:v>Pulp and Paper,Waste</x:v>
      </x:c>
      <x:c r="G7" s="48" t="str">
        <x:v>Baileyville</x:v>
      </x:c>
      <x:c r="H7" s="48" t="str">
        <x:v>ME</x:v>
      </x:c>
      <x:c r="I7" s="48" t="str">
        <x:v>04694</x:v>
      </x:c>
      <x:c r="J7" s="52" t="n">
        <x:v>258839.416</x:v>
      </x:c>
      <x:c r="K7" s="48" t="str">
        <x:v>No</x:v>
      </x:c>
      <x:c r="L7" s="50" t="str"/>
      <x:c r="M7" s="50" t="str">
        <x:v>https://www.epa.gov/ghgreporting/data-sets</x:v>
      </x:c>
      <x:c r="N7" s="53" t="n">
        <x:v>46233</x:v>
      </x:c>
    </x:row>
    <x:row r="8">
      <x:c r="A8" s="48" t="str">
        <x:v>RAW-004</x:v>
      </x:c>
      <x:c r="B8" s="48" t="str">
        <x:v>GHGRP-1006065</x:v>
      </x:c>
      <x:c r="C8" s="50" t="str">
        <x:v>KIMBERLY-CLARK TISSUE MILL - New Milford, CT</x:v>
      </x:c>
      <x:c r="D8" s="50" t="n">
        <x:v>1006065</x:v>
      </x:c>
      <x:c r="E8" s="50" t="str">
        <x:v>KIMBERLY-CLARK CORP</x:v>
      </x:c>
      <x:c r="F8" s="50" t="str">
        <x:v>Pulp and Paper</x:v>
      </x:c>
      <x:c r="G8" s="48" t="str">
        <x:v>New Milford</x:v>
      </x:c>
      <x:c r="H8" s="48" t="str">
        <x:v>CT</x:v>
      </x:c>
      <x:c r="I8" s="48" t="str">
        <x:v>06776</x:v>
      </x:c>
      <x:c r="J8" s="52" t="n">
        <x:v>139054.776</x:v>
      </x:c>
      <x:c r="K8" s="48" t="str">
        <x:v>No</x:v>
      </x:c>
      <x:c r="L8" s="50" t="str"/>
      <x:c r="M8" s="50" t="str">
        <x:v>https://www.epa.gov/ghgreporting/data-sets</x:v>
      </x:c>
      <x:c r="N8" s="53" t="n">
        <x:v>46233</x:v>
      </x:c>
    </x:row>
    <x:row r="9">
      <x:c r="A9" s="48" t="str">
        <x:v>RAW-005</x:v>
      </x:c>
      <x:c r="B9" s="48" t="str">
        <x:v>GHGRP-1000056</x:v>
      </x:c>
      <x:c r="C9" s="50" t="str">
        <x:v>SPECIALTY MINERALS - Adams, MA</x:v>
      </x:c>
      <x:c r="D9" s="50" t="n">
        <x:v>1000056</x:v>
      </x:c>
      <x:c r="E9" s="50" t="str">
        <x:v>MINERALS TECHNOLOGIES INC</x:v>
      </x:c>
      <x:c r="F9" s="50" t="str">
        <x:v>Minerals</x:v>
      </x:c>
      <x:c r="G9" s="48" t="str">
        <x:v>Adams</x:v>
      </x:c>
      <x:c r="H9" s="48" t="str">
        <x:v>MA</x:v>
      </x:c>
      <x:c r="I9" s="48" t="str">
        <x:v>01220</x:v>
      </x:c>
      <x:c r="J9" s="52" t="n">
        <x:v>104307.134</x:v>
      </x:c>
      <x:c r="K9" s="48" t="str">
        <x:v>No</x:v>
      </x:c>
      <x:c r="L9" s="50" t="str"/>
      <x:c r="M9" s="50" t="str">
        <x:v>https://www.epa.gov/ghgreporting/data-sets</x:v>
      </x:c>
      <x:c r="N9" s="53" t="n">
        <x:v>46233</x:v>
      </x:c>
    </x:row>
    <x:row r="10">
      <x:c r="A10" s="48" t="str">
        <x:v>RAW-006</x:v>
      </x:c>
      <x:c r="B10" s="48" t="str">
        <x:v>GHGRP-1005710</x:v>
      </x:c>
      <x:c r="C10" s="50" t="str">
        <x:v>SEMASS PARTNERSHIP RESOURCE RECOVERY FACILITY - Rochester, MA</x:v>
      </x:c>
      <x:c r="D10" s="50" t="n">
        <x:v>1005710</x:v>
      </x:c>
      <x:c r="E10" s="50" t="str">
        <x:v>COVANTA HOLDING CORP</x:v>
      </x:c>
      <x:c r="F10" s="50" t="str">
        <x:v>Waste</x:v>
      </x:c>
      <x:c r="G10" s="48" t="str">
        <x:v>Rochester</x:v>
      </x:c>
      <x:c r="H10" s="48" t="str">
        <x:v>MA</x:v>
      </x:c>
      <x:c r="I10" s="48" t="str">
        <x:v>02770</x:v>
      </x:c>
      <x:c r="J10" s="52" t="n">
        <x:v>423563.364</x:v>
      </x:c>
      <x:c r="K10" s="48" t="str">
        <x:v>No</x:v>
      </x:c>
      <x:c r="L10" s="50" t="str"/>
      <x:c r="M10" s="50" t="str">
        <x:v>https://www.epa.gov/ghgreporting/data-sets</x:v>
      </x:c>
      <x:c r="N10" s="53" t="n">
        <x:v>46233</x:v>
      </x:c>
    </x:row>
    <x:row r="11">
      <x:c r="A11" s="48" t="str">
        <x:v>RAW-007</x:v>
      </x:c>
      <x:c r="B11" s="48" t="str">
        <x:v>GHGRP-1001289</x:v>
      </x:c>
      <x:c r="C11" s="50" t="str">
        <x:v>MIT Central Utility Plant - Cambridge, MA</x:v>
      </x:c>
      <x:c r="D11" s="50" t="n">
        <x:v>1001289</x:v>
      </x:c>
      <x:c r="E11" s="50" t="str">
        <x:v>MASSACHUSETTS INSTITUTE OF TECHNOLOGY</x:v>
      </x:c>
      <x:c r="F11" s="50" t="str">
        <x:v>Other</x:v>
      </x:c>
      <x:c r="G11" s="48" t="str">
        <x:v>Cambridge</x:v>
      </x:c>
      <x:c r="H11" s="48" t="str">
        <x:v>MA</x:v>
      </x:c>
      <x:c r="I11" s="48" t="str">
        <x:v>02139</x:v>
      </x:c>
      <x:c r="J11" s="52" t="n">
        <x:v>163803.582</x:v>
      </x:c>
      <x:c r="K11" s="48" t="str">
        <x:v>No</x:v>
      </x:c>
      <x:c r="L11" s="50" t="str"/>
      <x:c r="M11" s="50" t="str">
        <x:v>https://www.epa.gov/ghgreporting/data-sets</x:v>
      </x:c>
      <x:c r="N11" s="53" t="n">
        <x:v>46233</x:v>
      </x:c>
    </x:row>
    <x:row r="12">
      <x:c r="A12" s="48" t="str">
        <x:v>RAW-008</x:v>
      </x:c>
      <x:c r="B12" s="48" t="str">
        <x:v>GHGRP-1005136</x:v>
      </x:c>
      <x:c r="C12" s="50" t="str">
        <x:v>UMASS PHYSICAL PLANT BUILDING - Amherst, MA</x:v>
      </x:c>
      <x:c r="D12" s="50" t="n">
        <x:v>1005136</x:v>
      </x:c>
      <x:c r="E12" s="50" t="str">
        <x:v>UNIVERSITY OF MASSACHUSETTS</x:v>
      </x:c>
      <x:c r="F12" s="50" t="str">
        <x:v>Other</x:v>
      </x:c>
      <x:c r="G12" s="48" t="str">
        <x:v>Amherst</x:v>
      </x:c>
      <x:c r="H12" s="48" t="str">
        <x:v>MA</x:v>
      </x:c>
      <x:c r="I12" s="48" t="str">
        <x:v>01003</x:v>
      </x:c>
      <x:c r="J12" s="52" t="n">
        <x:v>103468.332</x:v>
      </x:c>
      <x:c r="K12" s="48" t="str">
        <x:v>No</x:v>
      </x:c>
      <x:c r="L12" s="50" t="str"/>
      <x:c r="M12" s="50" t="str">
        <x:v>https://www.epa.gov/ghgreporting/data-sets</x:v>
      </x:c>
      <x:c r="N12" s="53" t="n">
        <x:v>46233</x:v>
      </x:c>
    </x:row>
    <x:row r="13">
      <x:c r="A13" s="48" t="str">
        <x:v>RAW-009</x:v>
      </x:c>
      <x:c r="B13" s="48" t="str">
        <x:v>GHGRP-1003488</x:v>
      </x:c>
      <x:c r="C13" s="50" t="str">
        <x:v>RAND-WHITNEY CONTAINERBOARD LP - Montville, CT</x:v>
      </x:c>
      <x:c r="D13" s="50" t="n">
        <x:v>1003488</x:v>
      </x:c>
      <x:c r="E13" s="50" t="str">
        <x:v>THE KRAFT GROUP</x:v>
      </x:c>
      <x:c r="F13" s="50" t="str">
        <x:v>Pulp and Paper</x:v>
      </x:c>
      <x:c r="G13" s="48" t="str">
        <x:v>Montville</x:v>
      </x:c>
      <x:c r="H13" s="48" t="str">
        <x:v>CT</x:v>
      </x:c>
      <x:c r="I13" s="48" t="str">
        <x:v>06353</x:v>
      </x:c>
      <x:c r="J13" s="52" t="n">
        <x:v>92176.752</x:v>
      </x:c>
      <x:c r="K13" s="48" t="str">
        <x:v>No</x:v>
      </x:c>
      <x:c r="L13" s="50" t="str"/>
      <x:c r="M13" s="50" t="str">
        <x:v>https://www.epa.gov/ghgreporting/data-sets</x:v>
      </x:c>
      <x:c r="N13" s="53" t="n">
        <x:v>46233</x:v>
      </x:c>
    </x:row>
    <x:row r="14">
      <x:c r="A14" s="48" t="str">
        <x:v>RAW-010</x:v>
      </x:c>
      <x:c r="B14" s="48" t="str">
        <x:v>GHGRP-1004283</x:v>
      </x:c>
      <x:c r="C14" s="50" t="str">
        <x:v>Wheelabrator Bridgeport L.P. - Bridgeport, CT</x:v>
      </x:c>
      <x:c r="D14" s="50" t="n">
        <x:v>1004283</x:v>
      </x:c>
      <x:c r="E14" s="50" t="str">
        <x:v>WHEELABRATOR TECHNOLOGIES HOLDINGS INC</x:v>
      </x:c>
      <x:c r="F14" s="50" t="str">
        <x:v>Waste</x:v>
      </x:c>
      <x:c r="G14" s="48" t="str">
        <x:v>Bridgeport</x:v>
      </x:c>
      <x:c r="H14" s="48" t="str">
        <x:v>CT</x:v>
      </x:c>
      <x:c r="I14" s="48" t="str">
        <x:v>06605</x:v>
      </x:c>
      <x:c r="J14" s="52" t="n">
        <x:v>309543.362</x:v>
      </x:c>
      <x:c r="K14" s="48" t="str">
        <x:v>No</x:v>
      </x:c>
      <x:c r="L14" s="50" t="str"/>
      <x:c r="M14" s="50" t="str">
        <x:v>https://www.epa.gov/ghgreporting/data-sets</x:v>
      </x:c>
      <x:c r="N14" s="53" t="n">
        <x:v>46233</x:v>
      </x:c>
    </x:row>
    <x:row r="15">
      <x:c r="A15" s="48" t="str">
        <x:v>RAW-011</x:v>
      </x:c>
      <x:c r="B15" s="48" t="str">
        <x:v>GHGRP-1005037</x:v>
      </x:c>
      <x:c r="C15" s="50" t="str">
        <x:v>ERVING PAPER MILLS INC - Erving, MA</x:v>
      </x:c>
      <x:c r="D15" s="50" t="n">
        <x:v>1005037</x:v>
      </x:c>
      <x:c r="E15" s="50" t="str">
        <x:v>ERVING INDUSTRIES INC</x:v>
      </x:c>
      <x:c r="F15" s="50" t="str">
        <x:v>Pulp and Paper</x:v>
      </x:c>
      <x:c r="G15" s="48" t="str">
        <x:v>Erving</x:v>
      </x:c>
      <x:c r="H15" s="48" t="str">
        <x:v>MA</x:v>
      </x:c>
      <x:c r="I15" s="48" t="str">
        <x:v>01344</x:v>
      </x:c>
      <x:c r="J15" s="52" t="n">
        <x:v>34874.012</x:v>
      </x:c>
      <x:c r="K15" s="48" t="str">
        <x:v>No</x:v>
      </x:c>
      <x:c r="L15" s="50" t="str"/>
      <x:c r="M15" s="50" t="str">
        <x:v>https://www.epa.gov/ghgreporting/data-sets</x:v>
      </x:c>
      <x:c r="N15" s="53" t="n">
        <x:v>46233</x:v>
      </x:c>
    </x:row>
    <x:row r="16">
      <x:c r="A16" s="48" t="str">
        <x:v>RAW-012</x:v>
      </x:c>
      <x:c r="B16" s="48" t="str">
        <x:v>GHGRP-1005970</x:v>
      </x:c>
      <x:c r="C16" s="50" t="str">
        <x:v>NEWARK AMERICA - Fitchburg, MA</x:v>
      </x:c>
      <x:c r="D16" s="50" t="n">
        <x:v>1005970</x:v>
      </x:c>
      <x:c r="E16" s="50" t="str">
        <x:v>GREIF INC</x:v>
      </x:c>
      <x:c r="F16" s="50" t="str">
        <x:v>Pulp and Paper</x:v>
      </x:c>
      <x:c r="G16" s="48" t="str">
        <x:v>Fitchburg</x:v>
      </x:c>
      <x:c r="H16" s="48" t="str">
        <x:v>MA</x:v>
      </x:c>
      <x:c r="I16" s="48" t="str">
        <x:v>01420</x:v>
      </x:c>
      <x:c r="J16" s="52" t="n">
        <x:v>23287.812</x:v>
      </x:c>
      <x:c r="K16" s="48" t="str">
        <x:v>No</x:v>
      </x:c>
      <x:c r="L16" s="50" t="str"/>
      <x:c r="M16" s="50" t="str">
        <x:v>https://www.epa.gov/ghgreporting/data-sets</x:v>
      </x:c>
      <x:c r="N16" s="53" t="n">
        <x:v>46233</x:v>
      </x:c>
    </x:row>
    <x:row r="17">
      <x:c r="A17" s="48" t="str">
        <x:v>RAW-013</x:v>
      </x:c>
      <x:c r="B17" s="48" t="str">
        <x:v>GHGRP-1005179</x:v>
      </x:c>
      <x:c r="C17" s="50" t="str">
        <x:v>COVANTA HAVERHILL INC - Haverhill, MA</x:v>
      </x:c>
      <x:c r="D17" s="50" t="n">
        <x:v>1005179</x:v>
      </x:c>
      <x:c r="E17" s="50" t="str">
        <x:v>COVANTA HOLDING CORP</x:v>
      </x:c>
      <x:c r="F17" s="50" t="str">
        <x:v>Waste</x:v>
      </x:c>
      <x:c r="G17" s="48" t="str">
        <x:v>Haverhill</x:v>
      </x:c>
      <x:c r="H17" s="48" t="str">
        <x:v>MA</x:v>
      </x:c>
      <x:c r="I17" s="48" t="str">
        <x:v>01835</x:v>
      </x:c>
      <x:c r="J17" s="52" t="n">
        <x:v>235182.938</x:v>
      </x:c>
      <x:c r="K17" s="48" t="str">
        <x:v>No</x:v>
      </x:c>
      <x:c r="L17" s="50" t="str"/>
      <x:c r="M17" s="50" t="str">
        <x:v>https://www.epa.gov/ghgreporting/data-sets</x:v>
      </x:c>
      <x:c r="N17" s="53" t="n">
        <x:v>46233</x:v>
      </x:c>
    </x:row>
    <x:row r="18">
      <x:c r="A18" s="48" t="str">
        <x:v>RAW-014</x:v>
      </x:c>
      <x:c r="B18" s="48" t="str">
        <x:v>GHGRP-1006267</x:v>
      </x:c>
      <x:c r="C18" s="50" t="str">
        <x:v>WHEELABRATOR MILLBURY INC - Millbury, MA</x:v>
      </x:c>
      <x:c r="D18" s="50" t="n">
        <x:v>1006267</x:v>
      </x:c>
      <x:c r="E18" s="50" t="str">
        <x:v>WHEELABRATOR TECHNOLOGIES HOLDINGS INC</x:v>
      </x:c>
      <x:c r="F18" s="50" t="str">
        <x:v>Waste</x:v>
      </x:c>
      <x:c r="G18" s="48" t="str">
        <x:v>Millbury</x:v>
      </x:c>
      <x:c r="H18" s="48" t="str">
        <x:v>MA</x:v>
      </x:c>
      <x:c r="I18" s="48" t="str">
        <x:v>01527</x:v>
      </x:c>
      <x:c r="J18" s="52" t="n">
        <x:v>215001.77</x:v>
      </x:c>
      <x:c r="K18" s="48" t="str">
        <x:v>No</x:v>
      </x:c>
      <x:c r="L18" s="50" t="str"/>
      <x:c r="M18" s="50" t="str">
        <x:v>https://www.epa.gov/ghgreporting/data-sets</x:v>
      </x:c>
      <x:c r="N18" s="53" t="n">
        <x:v>46233</x:v>
      </x:c>
    </x:row>
    <x:row r="19">
      <x:c r="A19" s="48" t="str">
        <x:v>RAW-015</x:v>
      </x:c>
      <x:c r="B19" s="48" t="str">
        <x:v>GHGRP-1004101</x:v>
      </x:c>
      <x:c r="C19" s="50" t="str">
        <x:v>WHEELABRATOR NORTH ANDOVER INC. - North Andover, MA</x:v>
      </x:c>
      <x:c r="D19" s="50" t="n">
        <x:v>1004101</x:v>
      </x:c>
      <x:c r="E19" s="50" t="str">
        <x:v>WHEELABRATOR TECHNOLOGIES HOLDINGS INC</x:v>
      </x:c>
      <x:c r="F19" s="50" t="str">
        <x:v>Waste</x:v>
      </x:c>
      <x:c r="G19" s="48" t="str">
        <x:v>North Andover</x:v>
      </x:c>
      <x:c r="H19" s="48" t="str">
        <x:v>MA</x:v>
      </x:c>
      <x:c r="I19" s="48" t="str">
        <x:v>01845</x:v>
      </x:c>
      <x:c r="J19" s="52" t="n">
        <x:v>200789.514</x:v>
      </x:c>
      <x:c r="K19" s="48" t="str">
        <x:v>No</x:v>
      </x:c>
      <x:c r="L19" s="50" t="str"/>
      <x:c r="M19" s="50" t="str">
        <x:v>https://www.epa.gov/ghgreporting/data-sets</x:v>
      </x:c>
      <x:c r="N19" s="53" t="n">
        <x:v>46233</x:v>
      </x:c>
    </x:row>
    <x:row r="20">
      <x:c r="A20" s="48" t="str">
        <x:v>RAW-016</x:v>
      </x:c>
      <x:c r="B20" s="48" t="str">
        <x:v>GHGRP-1004287</x:v>
      </x:c>
      <x:c r="C20" s="50" t="str">
        <x:v>Wheelabrator Saugus Inc. - Saugus, MA</x:v>
      </x:c>
      <x:c r="D20" s="50" t="n">
        <x:v>1004287</x:v>
      </x:c>
      <x:c r="E20" s="50" t="str">
        <x:v>WHEELABRATOR TECHNOLOGIES HOLDINGS INC</x:v>
      </x:c>
      <x:c r="F20" s="50" t="str">
        <x:v>Waste</x:v>
      </x:c>
      <x:c r="G20" s="48" t="str">
        <x:v>Saugus</x:v>
      </x:c>
      <x:c r="H20" s="48" t="str">
        <x:v>MA</x:v>
      </x:c>
      <x:c r="I20" s="48" t="str">
        <x:v>01906</x:v>
      </x:c>
      <x:c r="J20" s="52" t="n">
        <x:v>144607.686</x:v>
      </x:c>
      <x:c r="K20" s="48" t="str">
        <x:v>No</x:v>
      </x:c>
      <x:c r="L20" s="50" t="str"/>
      <x:c r="M20" s="50" t="str">
        <x:v>https://www.epa.gov/ghgreporting/data-sets</x:v>
      </x:c>
      <x:c r="N20" s="53" t="n">
        <x:v>46233</x:v>
      </x:c>
    </x:row>
    <x:row r="21">
      <x:c r="A21" s="48" t="str">
        <x:v>RAW-017</x:v>
      </x:c>
      <x:c r="B21" s="48" t="str">
        <x:v>GHGRP-1003594</x:v>
      </x:c>
      <x:c r="C21" s="50" t="str">
        <x:v>DRAGON CEMENT - Thomaston, ME</x:v>
      </x:c>
      <x:c r="D21" s="50" t="n">
        <x:v>1003594</x:v>
      </x:c>
      <x:c r="E21" s="50" t="str">
        <x:v>GIANT CEMENT HOLDING INC</x:v>
      </x:c>
      <x:c r="F21" s="50" t="str">
        <x:v>Minerals</x:v>
      </x:c>
      <x:c r="G21" s="48" t="str">
        <x:v>Thomaston</x:v>
      </x:c>
      <x:c r="H21" s="48" t="str">
        <x:v>ME</x:v>
      </x:c>
      <x:c r="I21" s="48" t="str">
        <x:v>04861</x:v>
      </x:c>
      <x:c r="J21" s="52" t="n">
        <x:v>236952.996</x:v>
      </x:c>
      <x:c r="K21" s="48" t="str">
        <x:v>No</x:v>
      </x:c>
      <x:c r="L21" s="50" t="str"/>
      <x:c r="M21" s="50" t="str">
        <x:v>https://www.epa.gov/ghgreporting/data-sets</x:v>
      </x:c>
      <x:c r="N21" s="53" t="n">
        <x:v>46233</x:v>
      </x:c>
    </x:row>
    <x:row r="22">
      <x:c r="A22" s="48" t="str">
        <x:v>RAW-018</x:v>
      </x:c>
      <x:c r="B22" s="48" t="str">
        <x:v>GHGRP-1004343</x:v>
      </x:c>
      <x:c r="C22" s="50" t="str">
        <x:v>Pfizer - Andover, MA</x:v>
      </x:c>
      <x:c r="D22" s="50" t="n">
        <x:v>1004343</x:v>
      </x:c>
      <x:c r="E22" s="50" t="str">
        <x:v>PFIZER INC</x:v>
      </x:c>
      <x:c r="F22" s="50" t="str">
        <x:v>Chemicals</x:v>
      </x:c>
      <x:c r="G22" s="48" t="str">
        <x:v>Andover</x:v>
      </x:c>
      <x:c r="H22" s="48" t="str">
        <x:v>MA</x:v>
      </x:c>
      <x:c r="I22" s="48" t="str">
        <x:v>01810</x:v>
      </x:c>
      <x:c r="J22" s="52" t="n">
        <x:v>47362.816</x:v>
      </x:c>
      <x:c r="K22" s="48" t="str">
        <x:v>No</x:v>
      </x:c>
      <x:c r="L22" s="50" t="str"/>
      <x:c r="M22" s="50" t="str">
        <x:v>https://www.epa.gov/ghgreporting/data-sets</x:v>
      </x:c>
      <x:c r="N22" s="53" t="n">
        <x:v>46233</x:v>
      </x:c>
    </x:row>
    <x:row r="23">
      <x:c r="A23" s="48" t="str">
        <x:v>RAW-019</x:v>
      </x:c>
      <x:c r="B23" s="48" t="str">
        <x:v>GHGRP-1001068</x:v>
      </x:c>
      <x:c r="C23" s="50" t="str">
        <x:v>Rousselot Peabody, Inc. - Peabody, MA</x:v>
      </x:c>
      <x:c r="D23" s="50" t="n">
        <x:v>1001068</x:v>
      </x:c>
      <x:c r="E23" s="50" t="str">
        <x:v>ROUSSELOT INC</x:v>
      </x:c>
      <x:c r="F23" s="50" t="str">
        <x:v>Chemicals</x:v>
      </x:c>
      <x:c r="G23" s="48" t="str">
        <x:v>Peabody</x:v>
      </x:c>
      <x:c r="H23" s="48" t="str">
        <x:v>MA</x:v>
      </x:c>
      <x:c r="I23" s="48" t="str">
        <x:v>01960</x:v>
      </x:c>
      <x:c r="J23" s="52" t="n">
        <x:v>34489.42</x:v>
      </x:c>
      <x:c r="K23" s="48" t="str">
        <x:v>No</x:v>
      </x:c>
      <x:c r="L23" s="50" t="str"/>
      <x:c r="M23" s="50" t="str">
        <x:v>https://www.epa.gov/ghgreporting/data-sets</x:v>
      </x:c>
      <x:c r="N23" s="53" t="n">
        <x:v>46233</x:v>
      </x:c>
    </x:row>
    <x:row r="24">
      <x:c r="A24" s="48" t="str">
        <x:v>RAW-020</x:v>
      </x:c>
      <x:c r="B24" s="48" t="str">
        <x:v>GHGRP-1000383</x:v>
      </x:c>
      <x:c r="C24" s="50" t="str">
        <x:v>BIOGEN INC - Cambridge, MA</x:v>
      </x:c>
      <x:c r="D24" s="50" t="n">
        <x:v>1000383</x:v>
      </x:c>
      <x:c r="E24" s="50" t="str">
        <x:v>BIOGEN INC</x:v>
      </x:c>
      <x:c r="F24" s="50" t="str">
        <x:v>Chemicals</x:v>
      </x:c>
      <x:c r="G24" s="48" t="str">
        <x:v>Cambridge</x:v>
      </x:c>
      <x:c r="H24" s="48" t="str">
        <x:v>MA</x:v>
      </x:c>
      <x:c r="I24" s="48" t="str">
        <x:v>02142</x:v>
      </x:c>
      <x:c r="J24" s="52" t="n">
        <x:v>28268.192</x:v>
      </x:c>
      <x:c r="K24" s="48" t="str">
        <x:v>No</x:v>
      </x:c>
      <x:c r="L24" s="50" t="str"/>
      <x:c r="M24" s="50" t="str">
        <x:v>https://www.epa.gov/ghgreporting/data-sets</x:v>
      </x:c>
      <x:c r="N24" s="53" t="n">
        <x:v>46233</x:v>
      </x:c>
    </x:row>
    <x:row r="25">
      <x:c r="A25" s="48" t="str">
        <x:v>RAW-021</x:v>
      </x:c>
      <x:c r="B25" s="48" t="str">
        <x:v>GHGRP-1006902</x:v>
      </x:c>
      <x:c r="C25" s="50" t="str">
        <x:v>UMASS MEDICAL SCHOOL - Worcester, MA</x:v>
      </x:c>
      <x:c r="D25" s="50" t="n">
        <x:v>1006902</x:v>
      </x:c>
      <x:c r="E25" s="50" t="str">
        <x:v>COMMONWEALTH OF MASSACHUSETTS</x:v>
      </x:c>
      <x:c r="F25" s="50" t="str">
        <x:v>Other</x:v>
      </x:c>
      <x:c r="G25" s="48" t="str">
        <x:v>Worcester</x:v>
      </x:c>
      <x:c r="H25" s="48" t="str">
        <x:v>MA</x:v>
      </x:c>
      <x:c r="I25" s="48" t="str">
        <x:v>01655</x:v>
      </x:c>
      <x:c r="J25" s="52" t="n">
        <x:v>86068.908</x:v>
      </x:c>
      <x:c r="K25" s="48" t="str">
        <x:v>No</x:v>
      </x:c>
      <x:c r="L25" s="50" t="str"/>
      <x:c r="M25" s="50" t="str">
        <x:v>https://www.epa.gov/ghgreporting/data-sets</x:v>
      </x:c>
      <x:c r="N25" s="53" t="n">
        <x:v>46233</x:v>
      </x:c>
    </x:row>
    <x:row r="26">
      <x:c r="A26" s="48" t="str">
        <x:v>RAW-022</x:v>
      </x:c>
      <x:c r="B26" s="48" t="str">
        <x:v>GHGRP-1000656</x:v>
      </x:c>
      <x:c r="C26" s="50" t="str">
        <x:v>The President and Fellows of Harvard University (Cambridge Allston Blackstone) - Cambridge, MA</x:v>
      </x:c>
      <x:c r="D26" s="50" t="n">
        <x:v>1000656</x:v>
      </x:c>
      <x:c r="E26" s="50" t="str">
        <x:v>PRESIDENT &amp; FELLOWS OF HARVARD COLLEGE</x:v>
      </x:c>
      <x:c r="F26" s="50" t="str">
        <x:v>Other</x:v>
      </x:c>
      <x:c r="G26" s="48" t="str">
        <x:v>Cambridge</x:v>
      </x:c>
      <x:c r="H26" s="48" t="str">
        <x:v>MA</x:v>
      </x:c>
      <x:c r="I26" s="48" t="str">
        <x:v>02139</x:v>
      </x:c>
      <x:c r="J26" s="52" t="n">
        <x:v>79476.042</x:v>
      </x:c>
      <x:c r="K26" s="48" t="str">
        <x:v>No</x:v>
      </x:c>
      <x:c r="L26" s="50" t="str"/>
      <x:c r="M26" s="50" t="str">
        <x:v>https://www.epa.gov/ghgreporting/data-sets</x:v>
      </x:c>
      <x:c r="N26" s="53" t="n">
        <x:v>46233</x:v>
      </x:c>
    </x:row>
    <x:row r="27">
      <x:c r="A27" s="48" t="str">
        <x:v>RAW-023</x:v>
      </x:c>
      <x:c r="B27" s="48" t="str">
        <x:v>GHGRP-1001974</x:v>
      </x:c>
      <x:c r="C27" s="50" t="str">
        <x:v>Georgia-Pacific Gypsum - Newington, NH</x:v>
      </x:c>
      <x:c r="D27" s="50" t="n">
        <x:v>1001974</x:v>
      </x:c>
      <x:c r="E27" s="50" t="str">
        <x:v>KOCH INDUSTRIES INC</x:v>
      </x:c>
      <x:c r="F27" s="50" t="str">
        <x:v>Minerals</x:v>
      </x:c>
      <x:c r="G27" s="48" t="str">
        <x:v>Newington</x:v>
      </x:c>
      <x:c r="H27" s="48" t="str">
        <x:v>NH</x:v>
      </x:c>
      <x:c r="I27" s="48" t="str">
        <x:v>03801</x:v>
      </x:c>
      <x:c r="J27" s="52" t="n">
        <x:v>68768.528282</x:v>
      </x:c>
      <x:c r="K27" s="48" t="str">
        <x:v>No</x:v>
      </x:c>
      <x:c r="L27" s="50" t="str"/>
      <x:c r="M27" s="50" t="str">
        <x:v>https://www.epa.gov/ghgreporting/data-sets</x:v>
      </x:c>
      <x:c r="N27" s="53" t="n">
        <x:v>46233</x:v>
      </x:c>
    </x:row>
    <x:row r="28">
      <x:c r="A28" s="48" t="str">
        <x:v>RAW-024</x:v>
      </x:c>
      <x:c r="B28" s="48" t="str">
        <x:v>GHGRP-1009982</x:v>
      </x:c>
      <x:c r="C28" s="50" t="str">
        <x:v>Analog Devices Inc - Willmington, MA</x:v>
      </x:c>
      <x:c r="D28" s="50" t="n">
        <x:v>1009982</x:v>
      </x:c>
      <x:c r="E28" s="50" t="str">
        <x:v>ANALOG DEVICES INC</x:v>
      </x:c>
      <x:c r="F28" s="50" t="str">
        <x:v>Other</x:v>
      </x:c>
      <x:c r="G28" s="48" t="str">
        <x:v>Willmington</x:v>
      </x:c>
      <x:c r="H28" s="48" t="str">
        <x:v>MA</x:v>
      </x:c>
      <x:c r="I28" s="48" t="str">
        <x:v>01887</x:v>
      </x:c>
      <x:c r="J28" s="52" t="n">
        <x:v>60623.475335</x:v>
      </x:c>
      <x:c r="K28" s="48" t="str">
        <x:v>No</x:v>
      </x:c>
      <x:c r="L28" s="50" t="str"/>
      <x:c r="M28" s="50" t="str">
        <x:v>https://www.epa.gov/ghgreporting/data-sets</x:v>
      </x:c>
      <x:c r="N28" s="53" t="n">
        <x:v>46233</x:v>
      </x:c>
    </x:row>
    <x:row r="29">
      <x:c r="A29" s="48" t="str">
        <x:v>RAW-025</x:v>
      </x:c>
      <x:c r="B29" s="48" t="str">
        <x:v>GHGRP-1002299</x:v>
      </x:c>
      <x:c r="C29" s="50" t="str">
        <x:v>SOLUTIA INC - INDIAN ORCHARD PLANT - Springfield, MA</x:v>
      </x:c>
      <x:c r="D29" s="50" t="n">
        <x:v>1002299</x:v>
      </x:c>
      <x:c r="E29" s="50" t="str">
        <x:v>EASTMAN CHEMICAL CO</x:v>
      </x:c>
      <x:c r="F29" s="50" t="str">
        <x:v>Other</x:v>
      </x:c>
      <x:c r="G29" s="48" t="str">
        <x:v>Springfield</x:v>
      </x:c>
      <x:c r="H29" s="48" t="str">
        <x:v>MA</x:v>
      </x:c>
      <x:c r="I29" s="48" t="str">
        <x:v>01151</x:v>
      </x:c>
      <x:c r="J29" s="52" t="n">
        <x:v>59347.076</x:v>
      </x:c>
      <x:c r="K29" s="48" t="str">
        <x:v>No</x:v>
      </x:c>
      <x:c r="L29" s="50" t="str"/>
      <x:c r="M29" s="50" t="str">
        <x:v>https://www.epa.gov/ghgreporting/data-sets</x:v>
      </x:c>
      <x:c r="N29" s="53" t="n">
        <x:v>46233</x:v>
      </x:c>
    </x:row>
    <x:row r="30">
      <x:c r="A30" s="48" t="str">
        <x:v>RAW-026</x:v>
      </x:c>
      <x:c r="B30" s="48" t="str">
        <x:v>GHGRP-1003037</x:v>
      </x:c>
      <x:c r="C30" s="50" t="str">
        <x:v>SAINT-GOBAIN ABRASIVES and SAINT-GOBAIN CERAMICS &amp; PLASTICS, INC. - Worcester, MA</x:v>
      </x:c>
      <x:c r="D30" s="50" t="n">
        <x:v>1003037</x:v>
      </x:c>
      <x:c r="E30" s="50" t="str">
        <x:v>SAINT-GOBAIN CORP</x:v>
      </x:c>
      <x:c r="F30" s="50" t="str">
        <x:v>Minerals</x:v>
      </x:c>
      <x:c r="G30" s="48" t="str">
        <x:v>Worcester</x:v>
      </x:c>
      <x:c r="H30" s="48" t="str">
        <x:v>MA</x:v>
      </x:c>
      <x:c r="I30" s="48" t="str">
        <x:v>01615</x:v>
      </x:c>
      <x:c r="J30" s="52" t="n">
        <x:v>43771.242</x:v>
      </x:c>
      <x:c r="K30" s="48" t="str">
        <x:v>No</x:v>
      </x:c>
      <x:c r="L30" s="50" t="str"/>
      <x:c r="M30" s="50" t="str">
        <x:v>https://www.epa.gov/ghgreporting/data-sets</x:v>
      </x:c>
      <x:c r="N30" s="53" t="n">
        <x:v>46233</x:v>
      </x:c>
    </x:row>
    <x:row r="31">
      <x:c r="A31" s="48" t="str">
        <x:v>RAW-027</x:v>
      </x:c>
      <x:c r="B31" s="48" t="str">
        <x:v>GHGRP-1002834</x:v>
      </x:c>
      <x:c r="C31" s="50" t="str">
        <x:v>Gorham Acquisition LLC - Gorham, NH</x:v>
      </x:c>
      <x:c r="D31" s="50" t="n">
        <x:v>1002834</x:v>
      </x:c>
      <x:c r="E31" s="50" t="str">
        <x:v>GORHAM ACQUISITION LLC</x:v>
      </x:c>
      <x:c r="F31" s="50" t="str">
        <x:v>Pulp and Paper</x:v>
      </x:c>
      <x:c r="G31" s="48" t="str">
        <x:v>Gorham</x:v>
      </x:c>
      <x:c r="H31" s="48" t="str">
        <x:v>NH</x:v>
      </x:c>
      <x:c r="I31" s="48" t="str">
        <x:v>03581</x:v>
      </x:c>
      <x:c r="J31" s="52" t="n">
        <x:v>12626.952</x:v>
      </x:c>
      <x:c r="K31" s="48" t="str">
        <x:v>No</x:v>
      </x:c>
      <x:c r="L31" s="50" t="str"/>
      <x:c r="M31" s="50" t="str">
        <x:v>https://www.epa.gov/ghgreporting/data-sets</x:v>
      </x:c>
      <x:c r="N31" s="53" t="n">
        <x:v>46233</x:v>
      </x:c>
    </x:row>
    <x:row r="32">
      <x:c r="A32" s="48" t="str">
        <x:v>RAW-028</x:v>
      </x:c>
      <x:c r="B32" s="48" t="str">
        <x:v>GHGRP-1007879</x:v>
      </x:c>
      <x:c r="C32" s="50" t="str">
        <x:v>WM of NH - TREE (Turnkey Landfill) - Gonic, NH</x:v>
      </x:c>
      <x:c r="D32" s="50" t="n">
        <x:v>1007879</x:v>
      </x:c>
      <x:c r="E32" s="50" t="str">
        <x:v>WASTE MANAGEMENT INC</x:v>
      </x:c>
      <x:c r="F32" s="50" t="str">
        <x:v>Waste</x:v>
      </x:c>
      <x:c r="G32" s="48" t="str">
        <x:v>Gonic</x:v>
      </x:c>
      <x:c r="H32" s="48" t="str">
        <x:v>NH</x:v>
      </x:c>
      <x:c r="I32" s="48" t="str">
        <x:v>03839</x:v>
      </x:c>
      <x:c r="J32" s="52" t="n">
        <x:v>128922.32</x:v>
      </x:c>
      <x:c r="K32" s="48" t="str">
        <x:v>No</x:v>
      </x:c>
      <x:c r="L32" s="50" t="str"/>
      <x:c r="M32" s="50" t="str">
        <x:v>https://www.epa.gov/ghgreporting/data-sets</x:v>
      </x:c>
      <x:c r="N32" s="53" t="n">
        <x:v>46233</x:v>
      </x:c>
    </x:row>
    <x:row r="33">
      <x:c r="A33" s="48" t="str">
        <x:v>RAW-029</x:v>
      </x:c>
      <x:c r="B33" s="48" t="str">
        <x:v>GHGRP-1002744</x:v>
      </x:c>
      <x:c r="C33" s="50" t="str">
        <x:v>SOUTHEASTERN CT RESOURCE RECOVERY FACILITY - Preston, CT</x:v>
      </x:c>
      <x:c r="D33" s="50" t="n">
        <x:v>1002744</x:v>
      </x:c>
      <x:c r="E33" s="50" t="str">
        <x:v>COVANTA HOLDING CORP</x:v>
      </x:c>
      <x:c r="F33" s="50" t="str">
        <x:v>Waste</x:v>
      </x:c>
      <x:c r="G33" s="48" t="str">
        <x:v>Preston</x:v>
      </x:c>
      <x:c r="H33" s="48" t="str">
        <x:v>CT</x:v>
      </x:c>
      <x:c r="I33" s="48" t="str">
        <x:v>06365</x:v>
      </x:c>
      <x:c r="J33" s="52" t="n">
        <x:v>103872.84</x:v>
      </x:c>
      <x:c r="K33" s="48" t="str">
        <x:v>No</x:v>
      </x:c>
      <x:c r="L33" s="50" t="str"/>
      <x:c r="M33" s="50" t="str">
        <x:v>https://www.epa.gov/ghgreporting/data-sets</x:v>
      </x:c>
      <x:c r="N33" s="53" t="n">
        <x:v>46233</x:v>
      </x:c>
    </x:row>
    <x:row r="34">
      <x:c r="A34" s="48" t="str">
        <x:v>RAW-030</x:v>
      </x:c>
      <x:c r="B34" s="48" t="str">
        <x:v>GHGRP-1003726</x:v>
      </x:c>
      <x:c r="C34" s="50" t="str">
        <x:v>GLOBALFOUNDRIES U.S. 2 LLC - Vermont Facility - Essex Junction, VT</x:v>
      </x:c>
      <x:c r="D34" s="50" t="n">
        <x:v>1003726</x:v>
      </x:c>
      <x:c r="E34" s="50" t="str">
        <x:v>GLOBALFOUNDRIES US INC</x:v>
      </x:c>
      <x:c r="F34" s="50" t="str">
        <x:v>Other</x:v>
      </x:c>
      <x:c r="G34" s="48" t="str">
        <x:v>Essex Junction</x:v>
      </x:c>
      <x:c r="H34" s="48" t="str">
        <x:v>VT</x:v>
      </x:c>
      <x:c r="I34" s="48" t="str">
        <x:v>05452</x:v>
      </x:c>
      <x:c r="J34" s="52" t="n">
        <x:v>142164.617172</x:v>
      </x:c>
      <x:c r="K34" s="48" t="str">
        <x:v>No</x:v>
      </x:c>
      <x:c r="L34" s="50" t="str"/>
      <x:c r="M34" s="50" t="str">
        <x:v>https://www.epa.gov/ghgreporting/data-sets</x:v>
      </x:c>
      <x:c r="N34" s="53" t="n">
        <x:v>46233</x:v>
      </x:c>
    </x:row>
    <x:row r="35">
      <x:c r="A35" s="48" t="str">
        <x:v>RAW-031</x:v>
      </x:c>
      <x:c r="B35" s="48" t="str">
        <x:v>GHGRP-1004800</x:v>
      </x:c>
      <x:c r="C35" s="50" t="str">
        <x:v>YALE UNIVERSITY - SCHOOL OF MEDICINE - New Haven, CT</x:v>
      </x:c>
      <x:c r="D35" s="50" t="n">
        <x:v>1004800</x:v>
      </x:c>
      <x:c r="E35" s="50" t="str">
        <x:v>THE YALE CORP</x:v>
      </x:c>
      <x:c r="F35" s="50" t="str">
        <x:v>Other</x:v>
      </x:c>
      <x:c r="G35" s="48" t="str">
        <x:v>New Haven</x:v>
      </x:c>
      <x:c r="H35" s="48" t="str">
        <x:v>CT</x:v>
      </x:c>
      <x:c r="I35" s="48" t="str">
        <x:v>06520</x:v>
      </x:c>
      <x:c r="J35" s="52" t="n">
        <x:v>98780.96</x:v>
      </x:c>
      <x:c r="K35" s="48" t="str">
        <x:v>No</x:v>
      </x:c>
      <x:c r="L35" s="50" t="str"/>
      <x:c r="M35" s="50" t="str">
        <x:v>https://www.epa.gov/ghgreporting/data-sets</x:v>
      </x:c>
      <x:c r="N35" s="53" t="n">
        <x:v>46233</x:v>
      </x:c>
    </x:row>
    <x:row r="36">
      <x:c r="A36" s="48" t="str">
        <x:v>RAW-032</x:v>
      </x:c>
      <x:c r="B36" s="48" t="str">
        <x:v>GHGRP-1000338</x:v>
      </x:c>
      <x:c r="C36" s="50" t="str">
        <x:v>TORAY PLASTICS (AMERICA), INC. - North Kingstown, RI</x:v>
      </x:c>
      <x:c r="D36" s="50" t="n">
        <x:v>1000338</x:v>
      </x:c>
      <x:c r="E36" s="50" t="str">
        <x:v>TORAY INDUSTRIES AMERICA INC</x:v>
      </x:c>
      <x:c r="F36" s="50" t="str">
        <x:v>Other</x:v>
      </x:c>
      <x:c r="G36" s="48" t="str">
        <x:v>North Kingstown</x:v>
      </x:c>
      <x:c r="H36" s="48" t="str">
        <x:v>RI</x:v>
      </x:c>
      <x:c r="I36" s="48" t="str">
        <x:v>02852</x:v>
      </x:c>
      <x:c r="J36" s="52" t="n">
        <x:v>95863.888</x:v>
      </x:c>
      <x:c r="K36" s="48" t="str">
        <x:v>No</x:v>
      </x:c>
      <x:c r="L36" s="50" t="str"/>
      <x:c r="M36" s="50" t="str">
        <x:v>https://www.epa.gov/ghgreporting/data-sets</x:v>
      </x:c>
      <x:c r="N36" s="53" t="n">
        <x:v>46233</x:v>
      </x:c>
    </x:row>
    <x:row r="37">
      <x:c r="A37" s="48" t="str">
        <x:v>RAW-033</x:v>
      </x:c>
      <x:c r="B37" s="48" t="str">
        <x:v>GHGRP-1004835</x:v>
      </x:c>
      <x:c r="C37" s="50" t="str">
        <x:v>YALE UNIVERSITY CENTRAL POWER PLANT - New Haven, CT</x:v>
      </x:c>
      <x:c r="D37" s="50" t="n">
        <x:v>1004835</x:v>
      </x:c>
      <x:c r="E37" s="50" t="str">
        <x:v>THE YALE CORP</x:v>
      </x:c>
      <x:c r="F37" s="50" t="str">
        <x:v>Other</x:v>
      </x:c>
      <x:c r="G37" s="48" t="str">
        <x:v>New Haven</x:v>
      </x:c>
      <x:c r="H37" s="48" t="str">
        <x:v>CT</x:v>
      </x:c>
      <x:c r="I37" s="48" t="str">
        <x:v>06520</x:v>
      </x:c>
      <x:c r="J37" s="52" t="n">
        <x:v>95583.674</x:v>
      </x:c>
      <x:c r="K37" s="48" t="str">
        <x:v>No</x:v>
      </x:c>
      <x:c r="L37" s="50" t="str"/>
      <x:c r="M37" s="50" t="str">
        <x:v>https://www.epa.gov/ghgreporting/data-sets</x:v>
      </x:c>
      <x:c r="N37" s="53" t="n">
        <x:v>46233</x:v>
      </x:c>
    </x:row>
    <x:row r="38">
      <x:c r="A38" s="48" t="str">
        <x:v>RAW-034</x:v>
      </x:c>
      <x:c r="B38" s="48" t="str">
        <x:v>GHGRP-1004266</x:v>
      </x:c>
      <x:c r="C38" s="50" t="str">
        <x:v>UNIVERSITY OF CONNECTICUT - Storrs Mansfield, CT</x:v>
      </x:c>
      <x:c r="D38" s="50" t="n">
        <x:v>1004266</x:v>
      </x:c>
      <x:c r="E38" s="50" t="str">
        <x:v>STATE OF CONNECTICUT</x:v>
      </x:c>
      <x:c r="F38" s="50" t="str">
        <x:v>Other</x:v>
      </x:c>
      <x:c r="G38" s="48" t="str">
        <x:v>Storrs Mansfield</x:v>
      </x:c>
      <x:c r="H38" s="48" t="str">
        <x:v>CT</x:v>
      </x:c>
      <x:c r="I38" s="48" t="str">
        <x:v>06269</x:v>
      </x:c>
      <x:c r="J38" s="52" t="n">
        <x:v>95455.93</x:v>
      </x:c>
      <x:c r="K38" s="48" t="str">
        <x:v>No</x:v>
      </x:c>
      <x:c r="L38" s="50" t="str"/>
      <x:c r="M38" s="50" t="str">
        <x:v>https://www.epa.gov/ghgreporting/data-sets</x:v>
      </x:c>
      <x:c r="N38" s="53" t="n">
        <x:v>46233</x:v>
      </x:c>
    </x:row>
    <x:row r="39">
      <x:c r="A39" s="48" t="str">
        <x:v>RAW-035</x:v>
      </x:c>
      <x:c r="B39" s="48" t="str">
        <x:v>GHGRP-1006941</x:v>
      </x:c>
      <x:c r="C39" s="50" t="str">
        <x:v>Pfizer - Groton, CT</x:v>
      </x:c>
      <x:c r="D39" s="50" t="n">
        <x:v>1006941</x:v>
      </x:c>
      <x:c r="E39" s="50" t="str">
        <x:v>PFIZER INC</x:v>
      </x:c>
      <x:c r="F39" s="50" t="str">
        <x:v>Other</x:v>
      </x:c>
      <x:c r="G39" s="48" t="str">
        <x:v>Groton</x:v>
      </x:c>
      <x:c r="H39" s="48" t="str">
        <x:v>CT</x:v>
      </x:c>
      <x:c r="I39" s="48" t="str">
        <x:v>06340</x:v>
      </x:c>
      <x:c r="J39" s="52" t="n">
        <x:v>88454.382</x:v>
      </x:c>
      <x:c r="K39" s="48" t="str">
        <x:v>No</x:v>
      </x:c>
      <x:c r="L39" s="50" t="str"/>
      <x:c r="M39" s="50" t="str">
        <x:v>https://www.epa.gov/ghgreporting/data-sets</x:v>
      </x:c>
      <x:c r="N39" s="53" t="n">
        <x:v>46233</x:v>
      </x:c>
    </x:row>
    <x:row r="40">
      <x:c r="A40" s="48" t="str">
        <x:v>RAW-036</x:v>
      </x:c>
      <x:c r="B40" s="48" t="str">
        <x:v>GHGRP-1002437</x:v>
      </x:c>
      <x:c r="C40" s="50" t="str">
        <x:v>SIKORSKY AIRCRAFT HEADQUARTERS - Stratford, CT</x:v>
      </x:c>
      <x:c r="D40" s="50" t="n">
        <x:v>1002437</x:v>
      </x:c>
      <x:c r="E40" s="50" t="str">
        <x:v>LOCKHEED MARTIN CORP</x:v>
      </x:c>
      <x:c r="F40" s="50" t="str">
        <x:v>Other</x:v>
      </x:c>
      <x:c r="G40" s="48" t="str">
        <x:v>Stratford</x:v>
      </x:c>
      <x:c r="H40" s="48" t="str">
        <x:v>CT</x:v>
      </x:c>
      <x:c r="I40" s="48" t="str">
        <x:v>06615</x:v>
      </x:c>
      <x:c r="J40" s="52" t="n">
        <x:v>52376.45</x:v>
      </x:c>
      <x:c r="K40" s="48" t="str">
        <x:v>No</x:v>
      </x:c>
      <x:c r="L40" s="50" t="str"/>
      <x:c r="M40" s="50" t="str">
        <x:v>https://www.epa.gov/ghgreporting/data-sets</x:v>
      </x:c>
      <x:c r="N40" s="53" t="n">
        <x:v>46233</x:v>
      </x:c>
    </x:row>
    <x:row r="41">
      <x:c r="A41" s="48" t="str">
        <x:v>RAW-037</x:v>
      </x:c>
      <x:c r="B41" s="48" t="str">
        <x:v>GHGRP-1002274</x:v>
      </x:c>
      <x:c r="C41" s="50" t="str">
        <x:v>Boston University - Boston, MA</x:v>
      </x:c>
      <x:c r="D41" s="50" t="n">
        <x:v>1002274</x:v>
      </x:c>
      <x:c r="E41" s="50" t="str">
        <x:v>TRUSTEES OF BOSTON UNIVERSITY</x:v>
      </x:c>
      <x:c r="F41" s="50" t="str">
        <x:v>Other</x:v>
      </x:c>
      <x:c r="G41" s="48" t="str">
        <x:v>Boston</x:v>
      </x:c>
      <x:c r="H41" s="48" t="str">
        <x:v>MA</x:v>
      </x:c>
      <x:c r="I41" s="48" t="str">
        <x:v>02134</x:v>
      </x:c>
      <x:c r="J41" s="52" t="n">
        <x:v>49083.294</x:v>
      </x:c>
      <x:c r="K41" s="48" t="str">
        <x:v>No</x:v>
      </x:c>
      <x:c r="L41" s="50" t="str"/>
      <x:c r="M41" s="50" t="str">
        <x:v>https://www.epa.gov/ghgreporting/data-sets</x:v>
      </x:c>
      <x:c r="N41" s="53" t="n">
        <x:v>46233</x:v>
      </x:c>
    </x:row>
    <x:row r="42">
      <x:c r="A42" s="48" t="str">
        <x:v>RAW-038</x:v>
      </x:c>
      <x:c r="B42" s="48" t="str">
        <x:v>GHGRP-1002497</x:v>
      </x:c>
      <x:c r="C42" s="50" t="str">
        <x:v>GILLETTE CO - Boston, MA</x:v>
      </x:c>
      <x:c r="D42" s="50" t="n">
        <x:v>1002497</x:v>
      </x:c>
      <x:c r="E42" s="50" t="str">
        <x:v>THE PROCTER &amp; GAMBLE CO</x:v>
      </x:c>
      <x:c r="F42" s="50" t="str">
        <x:v>Other</x:v>
      </x:c>
      <x:c r="G42" s="48" t="str">
        <x:v>Boston</x:v>
      </x:c>
      <x:c r="H42" s="48" t="str">
        <x:v>MA</x:v>
      </x:c>
      <x:c r="I42" s="48" t="str">
        <x:v>02127</x:v>
      </x:c>
      <x:c r="J42" s="52" t="n">
        <x:v>44354.832</x:v>
      </x:c>
      <x:c r="K42" s="48" t="str">
        <x:v>No</x:v>
      </x:c>
      <x:c r="L42" s="50" t="str"/>
      <x:c r="M42" s="50" t="str">
        <x:v>https://www.epa.gov/ghgreporting/data-sets</x:v>
      </x:c>
      <x:c r="N42" s="53" t="n">
        <x:v>46233</x:v>
      </x:c>
    </x:row>
    <x:row r="43">
      <x:c r="A43" s="48" t="str">
        <x:v>RAW-039</x:v>
      </x:c>
      <x:c r="B43" s="48" t="str">
        <x:v>GHGRP-1000593</x:v>
      </x:c>
      <x:c r="C43" s="50" t="str">
        <x:v>JGT2 Mill - Jay, ME</x:v>
      </x:c>
      <x:c r="D43" s="50" t="n">
        <x:v>1000593</x:v>
      </x:c>
      <x:c r="E43" s="50" t="str">
        <x:v>PIXELLE SPECIALTY SOLUTIONS LLC</x:v>
      </x:c>
      <x:c r="F43" s="50" t="str">
        <x:v>Pulp and Paper,Waste</x:v>
      </x:c>
      <x:c r="G43" s="48" t="str">
        <x:v>Jay</x:v>
      </x:c>
      <x:c r="H43" s="48" t="str">
        <x:v>ME</x:v>
      </x:c>
      <x:c r="I43" s="48" t="str">
        <x:v>04239</x:v>
      </x:c>
      <x:c r="J43" s="52" t="n">
        <x:v>43345.456</x:v>
      </x:c>
      <x:c r="K43" s="48" t="str">
        <x:v>No</x:v>
      </x:c>
      <x:c r="L43" s="50" t="str"/>
      <x:c r="M43" s="50" t="str">
        <x:v>https://www.epa.gov/ghgreporting/data-sets</x:v>
      </x:c>
      <x:c r="N43" s="53" t="n">
        <x:v>46233</x:v>
      </x:c>
    </x:row>
    <x:row r="44">
      <x:c r="A44" s="48" t="str">
        <x:v>RAW-040</x:v>
      </x:c>
      <x:c r="B44" s="48" t="str">
        <x:v>GHGRP-1003759</x:v>
      </x:c>
      <x:c r="C44" s="50" t="str">
        <x:v>Analog Devices, Inc./ Wilmington Manufacturing - Wilmington, MA</x:v>
      </x:c>
      <x:c r="D44" s="50" t="n">
        <x:v>1003759</x:v>
      </x:c>
      <x:c r="E44" s="50" t="str">
        <x:v>ANALOG DEVICES INC</x:v>
      </x:c>
      <x:c r="F44" s="50" t="str">
        <x:v>Other</x:v>
      </x:c>
      <x:c r="G44" s="48" t="str">
        <x:v>Wilmington</x:v>
      </x:c>
      <x:c r="H44" s="48" t="str">
        <x:v>MA</x:v>
      </x:c>
      <x:c r="I44" s="48" t="str">
        <x:v>01887</x:v>
      </x:c>
      <x:c r="J44" s="52" t="n">
        <x:v>38727.189394</x:v>
      </x:c>
      <x:c r="K44" s="48" t="str">
        <x:v>No</x:v>
      </x:c>
      <x:c r="L44" s="50" t="str"/>
      <x:c r="M44" s="50" t="str">
        <x:v>https://www.epa.gov/ghgreporting/data-sets</x:v>
      </x:c>
      <x:c r="N44" s="53" t="n">
        <x:v>46233</x:v>
      </x:c>
    </x:row>
    <x:row r="45">
      <x:c r="A45" s="48" t="str">
        <x:v>RAW-041</x:v>
      </x:c>
      <x:c r="B45" s="48" t="str">
        <x:v>GHGRP-1002717</x:v>
      </x:c>
      <x:c r="C45" s="50" t="str">
        <x:v>Gold Bond - POR Plant - Portsmouth, NH</x:v>
      </x:c>
      <x:c r="D45" s="50" t="n">
        <x:v>1002717</x:v>
      </x:c>
      <x:c r="E45" s="50" t="str">
        <x:v>SPANGLER COMPANIES INC</x:v>
      </x:c>
      <x:c r="F45" s="50" t="str">
        <x:v>Minerals</x:v>
      </x:c>
      <x:c r="G45" s="48" t="str">
        <x:v>Portsmouth</x:v>
      </x:c>
      <x:c r="H45" s="48" t="str">
        <x:v>NH</x:v>
      </x:c>
      <x:c r="I45" s="48" t="str">
        <x:v>03801</x:v>
      </x:c>
      <x:c r="J45" s="52" t="n">
        <x:v>34826.068</x:v>
      </x:c>
      <x:c r="K45" s="48" t="str">
        <x:v>No</x:v>
      </x:c>
      <x:c r="L45" s="50" t="str"/>
      <x:c r="M45" s="50" t="str">
        <x:v>https://www.epa.gov/ghgreporting/data-sets</x:v>
      </x:c>
      <x:c r="N45" s="53" t="n">
        <x:v>46233</x:v>
      </x:c>
    </x:row>
    <x:row r="46">
      <x:c r="A46" s="48" t="str">
        <x:v>RAW-042</x:v>
      </x:c>
      <x:c r="B46" s="48" t="str">
        <x:v>GHGRP-1006872</x:v>
      </x:c>
      <x:c r="C46" s="50" t="str">
        <x:v>U S AIR FORCE HANSCOM AFB - Hanscom Afb, MA</x:v>
      </x:c>
      <x:c r="D46" s="50" t="n">
        <x:v>1006872</x:v>
      </x:c>
      <x:c r="E46" s="50" t="str">
        <x:v>US GOVERNMENT</x:v>
      </x:c>
      <x:c r="F46" s="50" t="str">
        <x:v>Other</x:v>
      </x:c>
      <x:c r="G46" s="48" t="str">
        <x:v>Hanscom Afb</x:v>
      </x:c>
      <x:c r="H46" s="48" t="str">
        <x:v>MA</x:v>
      </x:c>
      <x:c r="I46" s="48" t="str">
        <x:v>01731</x:v>
      </x:c>
      <x:c r="J46" s="52" t="n">
        <x:v>34054.114</x:v>
      </x:c>
      <x:c r="K46" s="48" t="str">
        <x:v>No</x:v>
      </x:c>
      <x:c r="L46" s="50" t="str"/>
      <x:c r="M46" s="50" t="str">
        <x:v>https://www.epa.gov/ghgreporting/data-sets</x:v>
      </x:c>
      <x:c r="N46" s="53" t="n">
        <x:v>46233</x:v>
      </x:c>
    </x:row>
    <x:row r="47">
      <x:c r="A47" s="48" t="str">
        <x:v>RAW-043</x:v>
      </x:c>
      <x:c r="B47" s="48" t="str">
        <x:v>GHGRP-1006423</x:v>
      </x:c>
      <x:c r="C47" s="50" t="str">
        <x:v>WestRock Converting LLC - Missisquoi Mill - Sheldon Springs, VT</x:v>
      </x:c>
      <x:c r="D47" s="50" t="n">
        <x:v>1006423</x:v>
      </x:c>
      <x:c r="E47" s="50" t="str">
        <x:v>WESTROCK CO</x:v>
      </x:c>
      <x:c r="F47" s="50" t="str">
        <x:v>Pulp and Paper</x:v>
      </x:c>
      <x:c r="G47" s="48" t="str">
        <x:v>Sheldon Springs</x:v>
      </x:c>
      <x:c r="H47" s="48" t="str">
        <x:v>VT</x:v>
      </x:c>
      <x:c r="I47" s="48" t="str">
        <x:v>05485</x:v>
      </x:c>
      <x:c r="J47" s="52" t="n">
        <x:v>31830.426</x:v>
      </x:c>
      <x:c r="K47" s="48" t="str">
        <x:v>No</x:v>
      </x:c>
      <x:c r="L47" s="50" t="str"/>
      <x:c r="M47" s="50" t="str">
        <x:v>https://www.epa.gov/ghgreporting/data-sets</x:v>
      </x:c>
      <x:c r="N47" s="53" t="n">
        <x:v>46233</x:v>
      </x:c>
    </x:row>
    <x:row r="48">
      <x:c r="A48" s="48" t="str">
        <x:v>RAW-044</x:v>
      </x:c>
      <x:c r="B48" s="48" t="str">
        <x:v>GHGRP-1005277</x:v>
      </x:c>
      <x:c r="C48" s="50" t="str">
        <x:v>NORTHEASTERN UNIVERSITY - Boston, MA</x:v>
      </x:c>
      <x:c r="D48" s="50" t="n">
        <x:v>1005277</x:v>
      </x:c>
      <x:c r="E48" s="50" t="str">
        <x:v>NORTHEASTERN UNIVERSITY</x:v>
      </x:c>
      <x:c r="F48" s="50" t="str">
        <x:v>Other</x:v>
      </x:c>
      <x:c r="G48" s="48" t="str">
        <x:v>Boston</x:v>
      </x:c>
      <x:c r="H48" s="48" t="str">
        <x:v>MA</x:v>
      </x:c>
      <x:c r="I48" s="48" t="str">
        <x:v>02115</x:v>
      </x:c>
      <x:c r="J48" s="52" t="n">
        <x:v>27778.844</x:v>
      </x:c>
      <x:c r="K48" s="48" t="str">
        <x:v>No</x:v>
      </x:c>
      <x:c r="L48" s="50" t="str"/>
      <x:c r="M48" s="50" t="str">
        <x:v>https://www.epa.gov/ghgreporting/data-sets</x:v>
      </x:c>
      <x:c r="N48" s="53" t="n">
        <x:v>46233</x:v>
      </x:c>
    </x:row>
    <x:row r="49">
      <x:c r="A49" s="48" t="str">
        <x:v>RAW-045</x:v>
      </x:c>
      <x:c r="B49" s="48" t="str">
        <x:v>GHGRP-1001200</x:v>
      </x:c>
      <x:c r="C49" s="50" t="str">
        <x:v>General Electric Aviation - Lynn, MA</x:v>
      </x:c>
      <x:c r="D49" s="50" t="n">
        <x:v>1001200</x:v>
      </x:c>
      <x:c r="E49" s="50" t="str">
        <x:v>GENERAL ELECTRIC CO</x:v>
      </x:c>
      <x:c r="F49" s="50" t="str">
        <x:v>Other</x:v>
      </x:c>
      <x:c r="G49" s="48" t="str">
        <x:v>Lynn</x:v>
      </x:c>
      <x:c r="H49" s="48" t="str">
        <x:v>MA</x:v>
      </x:c>
      <x:c r="I49" s="48" t="str">
        <x:v>01910</x:v>
      </x:c>
      <x:c r="J49" s="52" t="n">
        <x:v>27000.67</x:v>
      </x:c>
      <x:c r="K49" s="48" t="str">
        <x:v>No</x:v>
      </x:c>
      <x:c r="L49" s="50" t="str"/>
      <x:c r="M49" s="50" t="str">
        <x:v>https://www.epa.gov/ghgreporting/data-sets</x:v>
      </x:c>
      <x:c r="N49" s="53" t="n">
        <x:v>46233</x:v>
      </x:c>
    </x:row>
    <x:row r="50">
      <x:c r="A50" s="48" t="str">
        <x:v>RAW-046</x:v>
      </x:c>
      <x:c r="B50" s="48" t="str">
        <x:v>GHGRP-1009735</x:v>
      </x:c>
      <x:c r="C50" s="50" t="str">
        <x:v>Skyworks Solutions, Inc. - Woburn, MA</x:v>
      </x:c>
      <x:c r="D50" s="50" t="n">
        <x:v>1009735</x:v>
      </x:c>
      <x:c r="E50" s="50" t="str">
        <x:v>SKYWORKS SOLUTIONS INC</x:v>
      </x:c>
      <x:c r="F50" s="50" t="str">
        <x:v>Other</x:v>
      </x:c>
      <x:c r="G50" s="48" t="str">
        <x:v>Woburn</x:v>
      </x:c>
      <x:c r="H50" s="48" t="str">
        <x:v>MA</x:v>
      </x:c>
      <x:c r="I50" s="48" t="str">
        <x:v>01801</x:v>
      </x:c>
      <x:c r="J50" s="52" t="n">
        <x:v>24116.71997</x:v>
      </x:c>
      <x:c r="K50" s="48" t="str">
        <x:v>No</x:v>
      </x:c>
      <x:c r="L50" s="50" t="str"/>
      <x:c r="M50" s="50" t="str">
        <x:v>https://www.epa.gov/ghgreporting/data-sets</x:v>
      </x:c>
      <x:c r="N50" s="53" t="n">
        <x:v>46233</x:v>
      </x:c>
    </x:row>
    <x:row r="51">
      <x:c r="A51" s="48" t="str">
        <x:v>RAW-047</x:v>
      </x:c>
      <x:c r="B51" s="48" t="str">
        <x:v>GHGRP-1011427</x:v>
      </x:c>
      <x:c r="C51" s="50" t="str">
        <x:v>Huhtamaki, Inc. - Waterville, ME</x:v>
      </x:c>
      <x:c r="D51" s="50" t="n">
        <x:v>1011427</x:v>
      </x:c>
      <x:c r="E51" s="50" t="str">
        <x:v>HUHTAMAKI AMERICAS INC</x:v>
      </x:c>
      <x:c r="F51" s="50" t="str">
        <x:v>Pulp and Paper</x:v>
      </x:c>
      <x:c r="G51" s="48" t="str">
        <x:v>Waterville</x:v>
      </x:c>
      <x:c r="H51" s="48" t="str">
        <x:v>ME</x:v>
      </x:c>
      <x:c r="I51" s="48" t="str">
        <x:v>04093</x:v>
      </x:c>
      <x:c r="J51" s="52" t="n">
        <x:v>22467.162</x:v>
      </x:c>
      <x:c r="K51" s="48" t="str">
        <x:v>No</x:v>
      </x:c>
      <x:c r="L51" s="50" t="str"/>
      <x:c r="M51" s="50" t="str">
        <x:v>https://www.epa.gov/ghgreporting/data-sets</x:v>
      </x:c>
      <x:c r="N51" s="53" t="n">
        <x:v>46233</x:v>
      </x:c>
    </x:row>
    <x:row r="52">
      <x:c r="A52" s="48" t="str">
        <x:v>RAW-048</x:v>
      </x:c>
      <x:c r="B52" s="48" t="str">
        <x:v>GHGRP-1004817</x:v>
      </x:c>
      <x:c r="C52" s="50" t="str">
        <x:v>Wyman-Gordon Company - North Grafton, MA</x:v>
      </x:c>
      <x:c r="D52" s="50" t="n">
        <x:v>1004817</x:v>
      </x:c>
      <x:c r="E52" s="50" t="str">
        <x:v>BERKSHIRE HATHAWAY INC</x:v>
      </x:c>
      <x:c r="F52" s="50" t="str">
        <x:v>Other</x:v>
      </x:c>
      <x:c r="G52" s="48" t="str">
        <x:v>North Grafton</x:v>
      </x:c>
      <x:c r="H52" s="48" t="str">
        <x:v>MA</x:v>
      </x:c>
      <x:c r="I52" s="48" t="str">
        <x:v>01536</x:v>
      </x:c>
      <x:c r="J52" s="52" t="n">
        <x:v>22167.616</x:v>
      </x:c>
      <x:c r="K52" s="48" t="str">
        <x:v>No</x:v>
      </x:c>
      <x:c r="L52" s="50" t="str"/>
      <x:c r="M52" s="50" t="str">
        <x:v>https://www.epa.gov/ghgreporting/data-sets</x:v>
      </x:c>
      <x:c r="N52" s="53" t="n">
        <x:v>46233</x:v>
      </x:c>
    </x:row>
    <x:row r="53">
      <x:c r="A53" s="48" t="str">
        <x:v>RAW-049</x:v>
      </x:c>
      <x:c r="B53" s="48" t="str">
        <x:v>GHGRP-1006452</x:v>
      </x:c>
      <x:c r="C53" s="50" t="str">
        <x:v>MASSPORT LOGAN AIRPORT - East Boston, MA</x:v>
      </x:c>
      <x:c r="D53" s="50" t="n">
        <x:v>1006452</x:v>
      </x:c>
      <x:c r="E53" s="50" t="str">
        <x:v>MASSACHUSETTS PORT AUTHORITY</x:v>
      </x:c>
      <x:c r="F53" s="50" t="str">
        <x:v>Other</x:v>
      </x:c>
      <x:c r="G53" s="48" t="str">
        <x:v>East Boston</x:v>
      </x:c>
      <x:c r="H53" s="48" t="str">
        <x:v>MA</x:v>
      </x:c>
      <x:c r="I53" s="48" t="str">
        <x:v>02128</x:v>
      </x:c>
      <x:c r="J53" s="52" t="n">
        <x:v>19750.176</x:v>
      </x:c>
      <x:c r="K53" s="48" t="str">
        <x:v>No</x:v>
      </x:c>
      <x:c r="L53" s="50" t="str"/>
      <x:c r="M53" s="50" t="str">
        <x:v>https://www.epa.gov/ghgreporting/data-sets</x:v>
      </x:c>
      <x:c r="N53" s="53" t="n">
        <x:v>46233</x:v>
      </x:c>
    </x:row>
    <x:row r="54">
      <x:c r="A54" s="48" t="str">
        <x:v>RAW-050</x:v>
      </x:c>
      <x:c r="B54" s="48" t="str">
        <x:v>GHGRP-1007069</x:v>
      </x:c>
      <x:c r="C54" s="50" t="str">
        <x:v>ND OTM LLC - Old Town, ME</x:v>
      </x:c>
      <x:c r="D54" s="50" t="n">
        <x:v>1007069</x:v>
      </x:c>
      <x:c r="E54" s="50" t="str">
        <x:v>ND PAPER LLC</x:v>
      </x:c>
      <x:c r="F54" s="50" t="str">
        <x:v>Pulp and Paper</x:v>
      </x:c>
      <x:c r="G54" s="48" t="str">
        <x:v>Old Town</x:v>
      </x:c>
      <x:c r="H54" s="48" t="str">
        <x:v>ME</x:v>
      </x:c>
      <x:c r="I54" s="48" t="str">
        <x:v>04468</x:v>
      </x:c>
      <x:c r="J54" s="52" t="n">
        <x:v>17886.03</x:v>
      </x:c>
      <x:c r="K54" s="48" t="str">
        <x:v>No</x:v>
      </x:c>
      <x:c r="L54" s="50" t="str"/>
      <x:c r="M54" s="50" t="str">
        <x:v>https://www.epa.gov/ghgreporting/data-sets</x:v>
      </x:c>
      <x:c r="N54" s="53" t="n">
        <x:v>46233</x:v>
      </x:c>
    </x:row>
    <x:row r="55">
      <x:c r="A55" s="48" t="str">
        <x:v>RAW-051</x:v>
      </x:c>
      <x:c r="B55" s="48" t="str">
        <x:v>GHGRP-1005123</x:v>
      </x:c>
      <x:c r="C55" s="50" t="str">
        <x:v>S D WARREN CO - Westbrook, ME</x:v>
      </x:c>
      <x:c r="D55" s="50" t="n">
        <x:v>1005123</x:v>
      </x:c>
      <x:c r="E55" s="50" t="str">
        <x:v>SAPPI NORTH AMERICA INC</x:v>
      </x:c>
      <x:c r="F55" s="50" t="str">
        <x:v>Pulp and Paper</x:v>
      </x:c>
      <x:c r="G55" s="48" t="str">
        <x:v>Westbrook</x:v>
      </x:c>
      <x:c r="H55" s="48" t="str">
        <x:v>ME</x:v>
      </x:c>
      <x:c r="I55" s="48" t="str">
        <x:v>04092</x:v>
      </x:c>
      <x:c r="J55" s="52" t="n">
        <x:v>13352</x:v>
      </x:c>
      <x:c r="K55" s="48" t="str">
        <x:v>No</x:v>
      </x:c>
      <x:c r="L55" s="50" t="str"/>
      <x:c r="M55" s="50" t="str">
        <x:v>https://www.epa.gov/ghgreporting/data-sets</x:v>
      </x:c>
      <x:c r="N55" s="53" t="n">
        <x:v>46233</x:v>
      </x:c>
    </x:row>
    <x:row r="56">
      <x:c r="A56" s="48" t="str">
        <x:v>RAW-052</x:v>
      </x:c>
      <x:c r="B56" s="48" t="str">
        <x:v>GHGRP-1005172</x:v>
      </x:c>
      <x:c r="C56" s="50" t="str">
        <x:v>COVANTA BRISTOL, INC - Bristol, CT</x:v>
      </x:c>
      <x:c r="D56" s="50" t="n">
        <x:v>1005172</x:v>
      </x:c>
      <x:c r="E56" s="50" t="str">
        <x:v>COVANTA HOLDING CORP</x:v>
      </x:c>
      <x:c r="F56" s="50" t="str">
        <x:v>Waste</x:v>
      </x:c>
      <x:c r="G56" s="48" t="str">
        <x:v>Bristol</x:v>
      </x:c>
      <x:c r="H56" s="48" t="str">
        <x:v>CT</x:v>
      </x:c>
      <x:c r="I56" s="48" t="str">
        <x:v>06010</x:v>
      </x:c>
      <x:c r="J56" s="52" t="n">
        <x:v>85035.586</x:v>
      </x:c>
      <x:c r="K56" s="48" t="str">
        <x:v>No</x:v>
      </x:c>
      <x:c r="L56" s="50" t="str"/>
      <x:c r="M56" s="50" t="str">
        <x:v>https://www.epa.gov/ghgreporting/data-sets</x:v>
      </x:c>
      <x:c r="N56" s="53" t="n">
        <x:v>46233</x:v>
      </x:c>
    </x:row>
    <x:row r="57">
      <x:c r="A57" s="48" t="str">
        <x:v>RAW-053</x:v>
      </x:c>
      <x:c r="B57" s="48" t="str">
        <x:v>GHGRP-1004184</x:v>
      </x:c>
      <x:c r="C57" s="50" t="str">
        <x:v>MANCHESTER LANDFILL - Manchester, CT</x:v>
      </x:c>
      <x:c r="D57" s="50" t="n">
        <x:v>1004184</x:v>
      </x:c>
      <x:c r="E57" s="50" t="str">
        <x:v>TOWN OF MANCHESTER CONNECTICUT</x:v>
      </x:c>
      <x:c r="F57" s="50" t="str">
        <x:v>Waste</x:v>
      </x:c>
      <x:c r="G57" s="48" t="str">
        <x:v>Manchester</x:v>
      </x:c>
      <x:c r="H57" s="48" t="str">
        <x:v>CT</x:v>
      </x:c>
      <x:c r="I57" s="48" t="str">
        <x:v>06040</x:v>
      </x:c>
      <x:c r="J57" s="52" t="n">
        <x:v>80879.898</x:v>
      </x:c>
      <x:c r="K57" s="48" t="str">
        <x:v>No</x:v>
      </x:c>
      <x:c r="L57" s="50" t="str"/>
      <x:c r="M57" s="50" t="str">
        <x:v>https://www.epa.gov/ghgreporting/data-sets</x:v>
      </x:c>
      <x:c r="N57" s="53" t="n">
        <x:v>46233</x:v>
      </x:c>
    </x:row>
    <x:row r="58">
      <x:c r="A58" s="48" t="str">
        <x:v>RAW-054</x:v>
      </x:c>
      <x:c r="B58" s="48" t="str">
        <x:v>GHGRP-1004540</x:v>
      </x:c>
      <x:c r="C58" s="50" t="str">
        <x:v>Wheelabrator Lisbon Inc. - Lisbon, CT</x:v>
      </x:c>
      <x:c r="D58" s="50" t="n">
        <x:v>1004540</x:v>
      </x:c>
      <x:c r="E58" s="50" t="str">
        <x:v>WHEELABRATOR TECHNOLOGIES HOLDINGS INC</x:v>
      </x:c>
      <x:c r="F58" s="50" t="str">
        <x:v>Waste</x:v>
      </x:c>
      <x:c r="G58" s="48" t="str">
        <x:v>Lisbon</x:v>
      </x:c>
      <x:c r="H58" s="48" t="str">
        <x:v>CT</x:v>
      </x:c>
      <x:c r="I58" s="48" t="str">
        <x:v>06351</x:v>
      </x:c>
      <x:c r="J58" s="52" t="n">
        <x:v>75615.104</x:v>
      </x:c>
      <x:c r="K58" s="48" t="str">
        <x:v>No</x:v>
      </x:c>
      <x:c r="L58" s="50" t="str"/>
      <x:c r="M58" s="50" t="str">
        <x:v>https://www.epa.gov/ghgreporting/data-sets</x:v>
      </x:c>
      <x:c r="N58" s="53" t="n">
        <x:v>46233</x:v>
      </x:c>
    </x:row>
    <x:row r="59">
      <x:c r="A59" s="48" t="str">
        <x:v>RAW-055</x:v>
      </x:c>
      <x:c r="B59" s="48" t="str">
        <x:v>GHGRP-1005255</x:v>
      </x:c>
      <x:c r="C59" s="50" t="str">
        <x:v>NORTH COUNTRY ENVIRONMENTAL SERVICES INC - Bethlehem, NH</x:v>
      </x:c>
      <x:c r="D59" s="50" t="n">
        <x:v>1005255</x:v>
      </x:c>
      <x:c r="E59" s="50" t="str">
        <x:v>CASELLA WASTE SYSTEMS INC</x:v>
      </x:c>
      <x:c r="F59" s="50" t="str">
        <x:v>Waste</x:v>
      </x:c>
      <x:c r="G59" s="48" t="str">
        <x:v>Bethlehem</x:v>
      </x:c>
      <x:c r="H59" s="48" t="str">
        <x:v>NH</x:v>
      </x:c>
      <x:c r="I59" s="48" t="str">
        <x:v>03574</x:v>
      </x:c>
      <x:c r="J59" s="52" t="n">
        <x:v>72501.45</x:v>
      </x:c>
      <x:c r="K59" s="48" t="str">
        <x:v>No</x:v>
      </x:c>
      <x:c r="L59" s="50" t="str"/>
      <x:c r="M59" s="50" t="str">
        <x:v>https://www.epa.gov/ghgreporting/data-sets</x:v>
      </x:c>
      <x:c r="N59" s="53" t="n">
        <x:v>46233</x:v>
      </x:c>
    </x:row>
    <x:row r="60">
      <x:c r="A60" s="48" t="str">
        <x:v>RAW-056</x:v>
      </x:c>
      <x:c r="B60" s="48" t="str">
        <x:v>GHGRP-1006369</x:v>
      </x:c>
      <x:c r="C60" s="50" t="str">
        <x:v>WHEELABRATOR CONCORD COMPANY LP - Concord (Penacook), NH</x:v>
      </x:c>
      <x:c r="D60" s="50" t="n">
        <x:v>1006369</x:v>
      </x:c>
      <x:c r="E60" s="50" t="str">
        <x:v>WHEELABRATOR TECHNOLOGIES HOLDINGS INC</x:v>
      </x:c>
      <x:c r="F60" s="50" t="str">
        <x:v>Waste</x:v>
      </x:c>
      <x:c r="G60" s="48" t="str">
        <x:v>Concord (Penacook)</x:v>
      </x:c>
      <x:c r="H60" s="48" t="str">
        <x:v>NH</x:v>
      </x:c>
      <x:c r="I60" s="48" t="str">
        <x:v>03303</x:v>
      </x:c>
      <x:c r="J60" s="52" t="n">
        <x:v>70061.384</x:v>
      </x:c>
      <x:c r="K60" s="48" t="str">
        <x:v>No</x:v>
      </x:c>
      <x:c r="L60" s="50" t="str"/>
      <x:c r="M60" s="50" t="str">
        <x:v>https://www.epa.gov/ghgreporting/data-sets</x:v>
      </x:c>
      <x:c r="N60" s="53" t="n">
        <x:v>46233</x:v>
      </x:c>
    </x:row>
    <x:row r="61">
      <x:c r="A61" s="48" t="str">
        <x:v>RAW-057</x:v>
      </x:c>
      <x:c r="B61" s="48" t="str">
        <x:v>GHGRP-1004698</x:v>
      </x:c>
      <x:c r="C61" s="50" t="str">
        <x:v>PORTSMOUTH NAVAL SHIPYARD - Kittery, ME</x:v>
      </x:c>
      <x:c r="D61" s="50" t="n">
        <x:v>1004698</x:v>
      </x:c>
      <x:c r="E61" s="50" t="str">
        <x:v>US GOVERNMENT</x:v>
      </x:c>
      <x:c r="F61" s="50" t="str">
        <x:v>Other</x:v>
      </x:c>
      <x:c r="G61" s="48" t="str">
        <x:v>Kittery</x:v>
      </x:c>
      <x:c r="H61" s="48" t="str">
        <x:v>ME</x:v>
      </x:c>
      <x:c r="I61" s="48" t="str">
        <x:v>03904</x:v>
      </x:c>
      <x:c r="J61" s="52" t="n">
        <x:v>72230.726</x:v>
      </x:c>
      <x:c r="K61" s="48" t="str">
        <x:v>No</x:v>
      </x:c>
      <x:c r="L61" s="50" t="str"/>
      <x:c r="M61" s="50" t="str">
        <x:v>https://www.epa.gov/ghgreporting/data-sets</x:v>
      </x:c>
      <x:c r="N61" s="53" t="n">
        <x:v>46233</x:v>
      </x:c>
    </x:row>
    <x:row r="62">
      <x:c r="A62" s="48" t="str">
        <x:v>RAW-058</x:v>
      </x:c>
      <x:c r="B62" s="48" t="str">
        <x:v>GHGRP-1010208</x:v>
      </x:c>
      <x:c r="C62" s="50" t="str">
        <x:v>Texas Instruments Incorporated - Maine Fab - South Portland, ME</x:v>
      </x:c>
      <x:c r="D62" s="50" t="n">
        <x:v>1010208</x:v>
      </x:c>
      <x:c r="E62" s="50" t="str">
        <x:v>TEXAS INSTRUMENTS INC</x:v>
      </x:c>
      <x:c r="F62" s="50" t="str">
        <x:v>Other</x:v>
      </x:c>
      <x:c r="G62" s="48" t="str">
        <x:v>South Portland</x:v>
      </x:c>
      <x:c r="H62" s="48" t="str">
        <x:v>ME</x:v>
      </x:c>
      <x:c r="I62" s="48" t="str">
        <x:v>04106</x:v>
      </x:c>
      <x:c r="J62" s="52" t="n">
        <x:v>69821.836662</x:v>
      </x:c>
      <x:c r="K62" s="48" t="str">
        <x:v>No</x:v>
      </x:c>
      <x:c r="L62" s="50" t="str"/>
      <x:c r="M62" s="50" t="str">
        <x:v>https://www.epa.gov/ghgreporting/data-sets</x:v>
      </x:c>
      <x:c r="N62" s="53" t="n">
        <x:v>46233</x:v>
      </x:c>
    </x:row>
    <x:row r="63">
      <x:c r="A63" s="48" t="str">
        <x:v>RAW-059</x:v>
      </x:c>
      <x:c r="B63" s="48" t="str">
        <x:v>GHGRP-1005213</x:v>
      </x:c>
      <x:c r="C63" s="50" t="str">
        <x:v>HAVERHILL LANDFILL - Haverhill, MA</x:v>
      </x:c>
      <x:c r="D63" s="50" t="n">
        <x:v>1005213</x:v>
      </x:c>
      <x:c r="E63" s="50" t="str">
        <x:v>COVANTA HOLDING CORP</x:v>
      </x:c>
      <x:c r="F63" s="50" t="str">
        <x:v>Waste</x:v>
      </x:c>
      <x:c r="G63" s="48" t="str">
        <x:v>Haverhill</x:v>
      </x:c>
      <x:c r="H63" s="48" t="str">
        <x:v>MA</x:v>
      </x:c>
      <x:c r="I63" s="48" t="str">
        <x:v>01835</x:v>
      </x:c>
      <x:c r="J63" s="52" t="n">
        <x:v>47774.75</x:v>
      </x:c>
      <x:c r="K63" s="48" t="str">
        <x:v>No</x:v>
      </x:c>
      <x:c r="L63" s="50" t="str"/>
      <x:c r="M63" s="50" t="str">
        <x:v>https://www.epa.gov/ghgreporting/data-sets</x:v>
      </x:c>
      <x:c r="N63" s="53" t="n">
        <x:v>46233</x:v>
      </x:c>
    </x:row>
    <x:row r="64">
      <x:c r="A64" s="48" t="str">
        <x:v>RAW-060</x:v>
      </x:c>
      <x:c r="B64" s="48" t="str">
        <x:v>GHGRP-1005715</x:v>
      </x:c>
      <x:c r="C64" s="50" t="str">
        <x:v>Carver-Marion-Wareham Landfill - Carver, MA</x:v>
      </x:c>
      <x:c r="D64" s="50" t="n">
        <x:v>1005715</x:v>
      </x:c>
      <x:c r="E64" s="50" t="str">
        <x:v>COVANTA HOLDING CORP</x:v>
      </x:c>
      <x:c r="F64" s="50" t="str">
        <x:v>Waste</x:v>
      </x:c>
      <x:c r="G64" s="48" t="str">
        <x:v>Carver</x:v>
      </x:c>
      <x:c r="H64" s="48" t="str">
        <x:v>MA</x:v>
      </x:c>
      <x:c r="I64" s="48" t="str">
        <x:v>02330</x:v>
      </x:c>
      <x:c r="J64" s="52" t="n">
        <x:v>39734.65</x:v>
      </x:c>
      <x:c r="K64" s="48" t="str">
        <x:v>No</x:v>
      </x:c>
      <x:c r="L64" s="50" t="str"/>
      <x:c r="M64" s="50" t="str">
        <x:v>https://www.epa.gov/ghgreporting/data-sets</x:v>
      </x:c>
      <x:c r="N64" s="53" t="n">
        <x:v>46233</x:v>
      </x:c>
    </x:row>
    <x:row r="65">
      <x:c r="A65" s="48" t="str">
        <x:v>RAW-061</x:v>
      </x:c>
      <x:c r="B65" s="48" t="str">
        <x:v>GHGRP-1007753</x:v>
      </x:c>
      <x:c r="C65" s="50" t="str">
        <x:v>FITCHBURG WESTMINSTER LANDFILL RECYCLING CENTER - Westminster, MA</x:v>
      </x:c>
      <x:c r="D65" s="50" t="n">
        <x:v>1007753</x:v>
      </x:c>
      <x:c r="E65" s="50" t="str">
        <x:v>WASTE MANAGEMENT INC</x:v>
      </x:c>
      <x:c r="F65" s="50" t="str">
        <x:v>Waste</x:v>
      </x:c>
      <x:c r="G65" s="48" t="str">
        <x:v>Westminster</x:v>
      </x:c>
      <x:c r="H65" s="48" t="str">
        <x:v>MA</x:v>
      </x:c>
      <x:c r="I65" s="48" t="str">
        <x:v>01473</x:v>
      </x:c>
      <x:c r="J65" s="52" t="n">
        <x:v>30720.402</x:v>
      </x:c>
      <x:c r="K65" s="48" t="str">
        <x:v>No</x:v>
      </x:c>
      <x:c r="L65" s="50" t="str"/>
      <x:c r="M65" s="50" t="str">
        <x:v>https://www.epa.gov/ghgreporting/data-sets</x:v>
      </x:c>
      <x:c r="N65" s="53" t="n">
        <x:v>46233</x:v>
      </x:c>
    </x:row>
    <x:row r="66">
      <x:c r="A66" s="48" t="str">
        <x:v>RAW-062</x:v>
      </x:c>
      <x:c r="B66" s="48" t="str">
        <x:v>GHGRP-1002593</x:v>
      </x:c>
      <x:c r="C66" s="50" t="str">
        <x:v>NORTHAMPTON LANDFILL - Northampton, MA</x:v>
      </x:c>
      <x:c r="D66" s="50" t="n">
        <x:v>1002593</x:v>
      </x:c>
      <x:c r="E66" s="50" t="str">
        <x:v>CITY OF NORTHAMPTON MASSACHUSETTS</x:v>
      </x:c>
      <x:c r="F66" s="50" t="str">
        <x:v>Waste</x:v>
      </x:c>
      <x:c r="G66" s="48" t="str">
        <x:v>Northampton</x:v>
      </x:c>
      <x:c r="H66" s="48" t="str">
        <x:v>MA</x:v>
      </x:c>
      <x:c r="I66" s="48" t="str">
        <x:v>01060</x:v>
      </x:c>
      <x:c r="J66" s="52" t="n">
        <x:v>10523</x:v>
      </x:c>
      <x:c r="K66" s="48" t="str">
        <x:v>No</x:v>
      </x:c>
      <x:c r="L66" s="50" t="str"/>
      <x:c r="M66" s="50" t="str">
        <x:v>https://www.epa.gov/ghgreporting/data-sets</x:v>
      </x:c>
      <x:c r="N66" s="53" t="n">
        <x:v>46233</x:v>
      </x:c>
    </x:row>
    <x:row r="67">
      <x:c r="A67" s="48" t="str">
        <x:v>RAW-063</x:v>
      </x:c>
      <x:c r="B67" s="48" t="str">
        <x:v>GHGRP-1007669</x:v>
      </x:c>
      <x:c r="C67" s="50" t="str">
        <x:v>CHICOPEE SANITARY LANDFILL - Chicopee, MA</x:v>
      </x:c>
      <x:c r="D67" s="50" t="n">
        <x:v>1007669</x:v>
      </x:c>
      <x:c r="E67" s="50" t="str">
        <x:v>WASTE MANAGEMENT INC</x:v>
      </x:c>
      <x:c r="F67" s="50" t="str">
        <x:v>Waste</x:v>
      </x:c>
      <x:c r="G67" s="48" t="str">
        <x:v>Chicopee</x:v>
      </x:c>
      <x:c r="H67" s="48" t="str">
        <x:v>MA</x:v>
      </x:c>
      <x:c r="I67" s="48" t="str">
        <x:v>01020</x:v>
      </x:c>
      <x:c r="J67" s="52" t="n">
        <x:v>5416.598</x:v>
      </x:c>
      <x:c r="K67" s="48" t="str">
        <x:v>No</x:v>
      </x:c>
      <x:c r="L67" s="50" t="str"/>
      <x:c r="M67" s="50" t="str">
        <x:v>https://www.epa.gov/ghgreporting/data-sets</x:v>
      </x:c>
      <x:c r="N67" s="53" t="n">
        <x:v>46233</x:v>
      </x:c>
    </x:row>
    <x:row r="68">
      <x:c r="A68" s="48" t="str">
        <x:v>RAW-064</x:v>
      </x:c>
      <x:c r="B68" s="48" t="str">
        <x:v>GHGRP-1005254</x:v>
      </x:c>
      <x:c r="C68" s="50" t="str">
        <x:v>SOUTHBRIDGE RECYCLING &amp; DISPOSAL PARK - Southbridge, MA</x:v>
      </x:c>
      <x:c r="D68" s="50" t="n">
        <x:v>1005254</x:v>
      </x:c>
      <x:c r="E68" s="50" t="str">
        <x:v>CASELLA WASTE SYSTEMS INC</x:v>
      </x:c>
      <x:c r="F68" s="50" t="str">
        <x:v>Waste</x:v>
      </x:c>
      <x:c r="G68" s="48" t="str">
        <x:v>Southbridge</x:v>
      </x:c>
      <x:c r="H68" s="48" t="str">
        <x:v>MA</x:v>
      </x:c>
      <x:c r="I68" s="48" t="str">
        <x:v>01550</x:v>
      </x:c>
      <x:c r="J68" s="52" t="n">
        <x:v>4475.652</x:v>
      </x:c>
      <x:c r="K68" s="48" t="str">
        <x:v>No</x:v>
      </x:c>
      <x:c r="L68" s="50" t="str"/>
      <x:c r="M68" s="50" t="str">
        <x:v>https://www.epa.gov/ghgreporting/data-sets</x:v>
      </x:c>
      <x:c r="N68" s="53" t="n">
        <x:v>46233</x:v>
      </x:c>
    </x:row>
    <x:row r="69">
      <x:c r="A69" s="48" t="str">
        <x:v>RAW-065</x:v>
      </x:c>
      <x:c r="B69" s="48" t="str">
        <x:v>GHGRP-1010391</x:v>
      </x:c>
      <x:c r="C69" s="50" t="str">
        <x:v>Middleborough Landfill - Middleborough, MA</x:v>
      </x:c>
      <x:c r="D69" s="50" t="n">
        <x:v>1010391</x:v>
      </x:c>
      <x:c r="E69" s="50" t="str">
        <x:v>WASTE MANAGEMENT INC</x:v>
      </x:c>
      <x:c r="F69" s="50" t="str">
        <x:v>Waste</x:v>
      </x:c>
      <x:c r="G69" s="48" t="str">
        <x:v>Middleborough</x:v>
      </x:c>
      <x:c r="H69" s="48" t="str">
        <x:v>MA</x:v>
      </x:c>
      <x:c r="I69" s="48" t="str">
        <x:v>02346</x:v>
      </x:c>
      <x:c r="J69" s="52" t="n">
        <x:v>3750.75</x:v>
      </x:c>
      <x:c r="K69" s="48" t="str">
        <x:v>No</x:v>
      </x:c>
      <x:c r="L69" s="50" t="str"/>
      <x:c r="M69" s="50" t="str">
        <x:v>https://www.epa.gov/ghgreporting/data-sets</x:v>
      </x:c>
      <x:c r="N69" s="53" t="n">
        <x:v>46233</x:v>
      </x:c>
    </x:row>
    <x:row r="70">
      <x:c r="A70" s="48" t="str">
        <x:v>RAW-066</x:v>
      </x:c>
      <x:c r="B70" s="48" t="str">
        <x:v>GHGRP-1003587</x:v>
      </x:c>
      <x:c r="C70" s="50" t="str">
        <x:v>MARTONE LANDFILL &amp; GAS GENERATING FACILITY - Barre, MA</x:v>
      </x:c>
      <x:c r="D70" s="50" t="n">
        <x:v>1003587</x:v>
      </x:c>
      <x:c r="E70" s="50" t="str">
        <x:v>WASTE MANAGEMENT INC</x:v>
      </x:c>
      <x:c r="F70" s="50" t="str">
        <x:v>Waste</x:v>
      </x:c>
      <x:c r="G70" s="48" t="str">
        <x:v>Barre</x:v>
      </x:c>
      <x:c r="H70" s="48" t="str">
        <x:v>MA</x:v>
      </x:c>
      <x:c r="I70" s="48" t="str">
        <x:v>01005</x:v>
      </x:c>
      <x:c r="J70" s="52" t="n">
        <x:v>2756.25</x:v>
      </x:c>
      <x:c r="K70" s="48" t="str">
        <x:v>No</x:v>
      </x:c>
      <x:c r="L70" s="50" t="str"/>
      <x:c r="M70" s="50" t="str">
        <x:v>https://www.epa.gov/ghgreporting/data-sets</x:v>
      </x:c>
      <x:c r="N70" s="53" t="n">
        <x:v>46233</x:v>
      </x:c>
    </x:row>
    <x:row r="71">
      <x:c r="A71" s="48" t="str">
        <x:v>RAW-067</x:v>
      </x:c>
      <x:c r="B71" s="48" t="str">
        <x:v>GHGRP-1003532</x:v>
      </x:c>
      <x:c r="C71" s="50" t="str">
        <x:v>TAUNTON SANITARY LANDFILL - Taunton, MA</x:v>
      </x:c>
      <x:c r="D71" s="50" t="n">
        <x:v>1003532</x:v>
      </x:c>
      <x:c r="E71" s="50" t="str">
        <x:v>WASTE MANAGEMENT INC</x:v>
      </x:c>
      <x:c r="F71" s="50" t="str">
        <x:v>Waste</x:v>
      </x:c>
      <x:c r="G71" s="48" t="str">
        <x:v>Taunton</x:v>
      </x:c>
      <x:c r="H71" s="48" t="str">
        <x:v>MA</x:v>
      </x:c>
      <x:c r="I71" s="48" t="str">
        <x:v>02780</x:v>
      </x:c>
      <x:c r="J71" s="52" t="n">
        <x:v>1909.5</x:v>
      </x:c>
      <x:c r="K71" s="48" t="str">
        <x:v>No</x:v>
      </x:c>
      <x:c r="L71" s="50" t="str"/>
      <x:c r="M71" s="50" t="str">
        <x:v>https://www.epa.gov/ghgreporting/data-sets</x:v>
      </x:c>
      <x:c r="N71" s="53" t="n">
        <x:v>46233</x:v>
      </x:c>
    </x:row>
    <x:row r="72">
      <x:c r="A72" s="48" t="str">
        <x:v>RAW-068</x:v>
      </x:c>
      <x:c r="B72" s="48" t="str">
        <x:v>GHGRP-1004557</x:v>
      </x:c>
      <x:c r="C72" s="50" t="str">
        <x:v>PLAINVILLE LANDFILL - Plainville, MA</x:v>
      </x:c>
      <x:c r="D72" s="50" t="n">
        <x:v>1004557</x:v>
      </x:c>
      <x:c r="E72" s="50" t="str">
        <x:v>REPUBLIC SERVICES INC</x:v>
      </x:c>
      <x:c r="F72" s="50" t="str">
        <x:v>Waste</x:v>
      </x:c>
      <x:c r="G72" s="48" t="str">
        <x:v>Plainville</x:v>
      </x:c>
      <x:c r="H72" s="48" t="str">
        <x:v>MA</x:v>
      </x:c>
      <x:c r="I72" s="48" t="str">
        <x:v>02762</x:v>
      </x:c>
      <x:c r="J72" s="52" t="n">
        <x:v>1660.55</x:v>
      </x:c>
      <x:c r="K72" s="48" t="str">
        <x:v>No</x:v>
      </x:c>
      <x:c r="L72" s="50" t="str"/>
      <x:c r="M72" s="50" t="str">
        <x:v>https://www.epa.gov/ghgreporting/data-sets</x:v>
      </x:c>
      <x:c r="N72" s="53" t="n">
        <x:v>46233</x:v>
      </x:c>
    </x:row>
    <x:row r="73">
      <x:c r="A73" s="48" t="str">
        <x:v>RAW-069</x:v>
      </x:c>
      <x:c r="B73" s="48" t="str">
        <x:v>GHGRP-1007685</x:v>
      </x:c>
      <x:c r="C73" s="50" t="str">
        <x:v>GRANBY SANITARY LANDFILL - Granby, MA</x:v>
      </x:c>
      <x:c r="D73" s="50" t="n">
        <x:v>1007685</x:v>
      </x:c>
      <x:c r="E73" s="50" t="str">
        <x:v>WASTE MANAGEMENT INC</x:v>
      </x:c>
      <x:c r="F73" s="50" t="str">
        <x:v>Waste</x:v>
      </x:c>
      <x:c r="G73" s="48" t="str">
        <x:v>Granby</x:v>
      </x:c>
      <x:c r="H73" s="48" t="str">
        <x:v>MA</x:v>
      </x:c>
      <x:c r="I73" s="48" t="str">
        <x:v>01033</x:v>
      </x:c>
      <x:c r="J73" s="52" t="n">
        <x:v>1137.75</x:v>
      </x:c>
      <x:c r="K73" s="48" t="str">
        <x:v>No</x:v>
      </x:c>
      <x:c r="L73" s="50" t="str"/>
      <x:c r="M73" s="50" t="str">
        <x:v>https://www.epa.gov/ghgreporting/data-sets</x:v>
      </x:c>
      <x:c r="N73" s="53" t="n">
        <x:v>46233</x:v>
      </x:c>
    </x:row>
    <x:row r="74">
      <x:c r="A74" s="48" t="str">
        <x:v>RAW-070</x:v>
      </x:c>
      <x:c r="B74" s="48" t="str">
        <x:v>GHGRP-1007550</x:v>
      </x:c>
      <x:c r="C74" s="50" t="str">
        <x:v>HALIFAX LANDFILL - Halifax, MA</x:v>
      </x:c>
      <x:c r="D74" s="50" t="n">
        <x:v>1007550</x:v>
      </x:c>
      <x:c r="E74" s="50" t="str">
        <x:v>REPUBLIC SERVICES INC</x:v>
      </x:c>
      <x:c r="F74" s="50" t="str">
        <x:v>Waste</x:v>
      </x:c>
      <x:c r="G74" s="48" t="str">
        <x:v>Halifax</x:v>
      </x:c>
      <x:c r="H74" s="48" t="str">
        <x:v>MA</x:v>
      </x:c>
      <x:c r="I74" s="48" t="str">
        <x:v>02338</x:v>
      </x:c>
      <x:c r="J74" s="52" t="n">
        <x:v>865.5</x:v>
      </x:c>
      <x:c r="K74" s="48" t="str">
        <x:v>No</x:v>
      </x:c>
      <x:c r="L74" s="50" t="str"/>
      <x:c r="M74" s="50" t="str">
        <x:v>https://www.epa.gov/ghgreporting/data-sets</x:v>
      </x:c>
      <x:c r="N74" s="53" t="n">
        <x:v>46233</x:v>
      </x:c>
    </x:row>
    <x:row r="75">
      <x:c r="A75" s="48" t="str">
        <x:v>RAW-071</x:v>
      </x:c>
      <x:c r="B75" s="48" t="str">
        <x:v>GHGRP-1005587</x:v>
      </x:c>
      <x:c r="C75" s="50" t="str">
        <x:v>R I HOSPITAL - Providence, RI</x:v>
      </x:c>
      <x:c r="D75" s="50" t="n">
        <x:v>1005587</x:v>
      </x:c>
      <x:c r="E75" s="50" t="str">
        <x:v>LIFESPAN CORP</x:v>
      </x:c>
      <x:c r="F75" s="50" t="str">
        <x:v>Other</x:v>
      </x:c>
      <x:c r="G75" s="48" t="str">
        <x:v>Providence</x:v>
      </x:c>
      <x:c r="H75" s="48" t="str">
        <x:v>RI</x:v>
      </x:c>
      <x:c r="I75" s="48" t="str">
        <x:v>02903</x:v>
      </x:c>
      <x:c r="J75" s="52" t="n">
        <x:v>48576.556</x:v>
      </x:c>
      <x:c r="K75" s="48" t="str">
        <x:v>No</x:v>
      </x:c>
      <x:c r="L75" s="50" t="str"/>
      <x:c r="M75" s="50" t="str">
        <x:v>https://www.epa.gov/ghgreporting/data-sets</x:v>
      </x:c>
      <x:c r="N75" s="53" t="n">
        <x:v>46233</x:v>
      </x:c>
    </x:row>
    <x:row r="76">
      <x:c r="A76" s="48" t="str">
        <x:v>RAW-072</x:v>
      </x:c>
      <x:c r="B76" s="48" t="str">
        <x:v>GHGRP-1005264</x:v>
      </x:c>
      <x:c r="C76" s="50" t="str">
        <x:v>DARTMOUTH COLLEGE HEATING PLANT - Hanover, NH</x:v>
      </x:c>
      <x:c r="D76" s="50" t="n">
        <x:v>1005264</x:v>
      </x:c>
      <x:c r="E76" s="50" t="str">
        <x:v>TRUSTEES OF DARTMOUTH COLLEGE</x:v>
      </x:c>
      <x:c r="F76" s="50" t="str">
        <x:v>Other</x:v>
      </x:c>
      <x:c r="G76" s="48" t="str">
        <x:v>Hanover</x:v>
      </x:c>
      <x:c r="H76" s="48" t="str">
        <x:v>NH</x:v>
      </x:c>
      <x:c r="I76" s="48" t="str">
        <x:v>03755</x:v>
      </x:c>
      <x:c r="J76" s="52" t="n">
        <x:v>41362.49</x:v>
      </x:c>
      <x:c r="K76" s="48" t="str">
        <x:v>No</x:v>
      </x:c>
      <x:c r="L76" s="50" t="str"/>
      <x:c r="M76" s="50" t="str">
        <x:v>https://www.epa.gov/ghgreporting/data-sets</x:v>
      </x:c>
      <x:c r="N76" s="53" t="n">
        <x:v>46233</x:v>
      </x:c>
    </x:row>
    <x:row r="77">
      <x:c r="A77" s="48" t="str">
        <x:v>RAW-073</x:v>
      </x:c>
      <x:c r="B77" s="48" t="str">
        <x:v>GHGRP-1004983</x:v>
      </x:c>
      <x:c r="C77" s="50" t="str">
        <x:v>FRITO-LAY - Killingly (Dayville), CT</x:v>
      </x:c>
      <x:c r="D77" s="50" t="n">
        <x:v>1004983</x:v>
      </x:c>
      <x:c r="E77" s="50" t="str">
        <x:v>PEPSICO INC</x:v>
      </x:c>
      <x:c r="F77" s="50" t="str">
        <x:v>Other</x:v>
      </x:c>
      <x:c r="G77" s="48" t="str">
        <x:v>Killingly (Dayville)</x:v>
      </x:c>
      <x:c r="H77" s="48" t="str">
        <x:v>CT</x:v>
      </x:c>
      <x:c r="I77" s="48" t="str">
        <x:v>06241</x:v>
      </x:c>
      <x:c r="J77" s="52" t="n">
        <x:v>40904.896</x:v>
      </x:c>
      <x:c r="K77" s="48" t="str">
        <x:v>No</x:v>
      </x:c>
      <x:c r="L77" s="50" t="str"/>
      <x:c r="M77" s="50" t="str">
        <x:v>https://www.epa.gov/ghgreporting/data-sets</x:v>
      </x:c>
      <x:c r="N77" s="53" t="n">
        <x:v>46233</x:v>
      </x:c>
    </x:row>
    <x:row r="78">
      <x:c r="A78" s="48" t="str">
        <x:v>RAW-074</x:v>
      </x:c>
      <x:c r="B78" s="48" t="str">
        <x:v>GHGRP-1002311</x:v>
      </x:c>
      <x:c r="C78" s="50" t="str">
        <x:v>Naval Submarine Base New London - Groton, CT</x:v>
      </x:c>
      <x:c r="D78" s="50" t="n">
        <x:v>1002311</x:v>
      </x:c>
      <x:c r="E78" s="50" t="str">
        <x:v>US GOVERNMENT</x:v>
      </x:c>
      <x:c r="F78" s="50" t="str">
        <x:v>Other</x:v>
      </x:c>
      <x:c r="G78" s="48" t="str">
        <x:v>Groton</x:v>
      </x:c>
      <x:c r="H78" s="48" t="str">
        <x:v>CT</x:v>
      </x:c>
      <x:c r="I78" s="48" t="str">
        <x:v>06349</x:v>
      </x:c>
      <x:c r="J78" s="52" t="n">
        <x:v>33690.214</x:v>
      </x:c>
      <x:c r="K78" s="48" t="str">
        <x:v>No</x:v>
      </x:c>
      <x:c r="L78" s="50" t="str"/>
      <x:c r="M78" s="50" t="str">
        <x:v>https://www.epa.gov/ghgreporting/data-sets</x:v>
      </x:c>
      <x:c r="N78" s="53" t="n">
        <x:v>46233</x:v>
      </x:c>
    </x:row>
    <x:row r="79">
      <x:c r="A79" s="48" t="str">
        <x:v>RAW-075</x:v>
      </x:c>
      <x:c r="B79" s="48" t="str">
        <x:v>GHGRP-1004295</x:v>
      </x:c>
      <x:c r="C79" s="50" t="str">
        <x:v>PRATT &amp; WHITNEY MIDDLETOWN - Middletown, CT</x:v>
      </x:c>
      <x:c r="D79" s="50" t="n">
        <x:v>1004295</x:v>
      </x:c>
      <x:c r="E79" s="50" t="str">
        <x:v>RTX CORP</x:v>
      </x:c>
      <x:c r="F79" s="50" t="str">
        <x:v>Other</x:v>
      </x:c>
      <x:c r="G79" s="48" t="str">
        <x:v>Middletown</x:v>
      </x:c>
      <x:c r="H79" s="48" t="str">
        <x:v>CT</x:v>
      </x:c>
      <x:c r="I79" s="48" t="str">
        <x:v>06457</x:v>
      </x:c>
      <x:c r="J79" s="52" t="n">
        <x:v>31813.526</x:v>
      </x:c>
      <x:c r="K79" s="48" t="str">
        <x:v>No</x:v>
      </x:c>
      <x:c r="L79" s="50" t="str"/>
      <x:c r="M79" s="50" t="str">
        <x:v>https://www.epa.gov/ghgreporting/data-sets</x:v>
      </x:c>
      <x:c r="N79" s="53" t="n">
        <x:v>46233</x:v>
      </x:c>
    </x:row>
    <x:row r="80">
      <x:c r="A80" s="48" t="str">
        <x:v>RAW-076</x:v>
      </x:c>
      <x:c r="B80" s="48" t="str">
        <x:v>GHGRP-1008928</x:v>
      </x:c>
      <x:c r="C80" s="50" t="str">
        <x:v>Hamilton Sundstrand Corporation - Windsor Locks, CT</x:v>
      </x:c>
      <x:c r="D80" s="50" t="n">
        <x:v>1008928</x:v>
      </x:c>
      <x:c r="E80" s="50" t="str">
        <x:v>RTX CORP</x:v>
      </x:c>
      <x:c r="F80" s="50" t="str">
        <x:v>Other</x:v>
      </x:c>
      <x:c r="G80" s="48" t="str">
        <x:v>Windsor Locks</x:v>
      </x:c>
      <x:c r="H80" s="48" t="str">
        <x:v>CT</x:v>
      </x:c>
      <x:c r="I80" s="48" t="str">
        <x:v>06096</x:v>
      </x:c>
      <x:c r="J80" s="52" t="n">
        <x:v>29237.336</x:v>
      </x:c>
      <x:c r="K80" s="48" t="str">
        <x:v>No</x:v>
      </x:c>
      <x:c r="L80" s="50" t="str"/>
      <x:c r="M80" s="50" t="str">
        <x:v>https://www.epa.gov/ghgreporting/data-sets</x:v>
      </x:c>
      <x:c r="N80" s="53" t="n">
        <x:v>46233</x:v>
      </x:c>
    </x:row>
    <x:row r="81">
      <x:c r="A81" s="48" t="str">
        <x:v>RAW-077</x:v>
      </x:c>
      <x:c r="B81" s="48" t="str">
        <x:v>GHGRP-1003597</x:v>
      </x:c>
      <x:c r="C81" s="50" t="str">
        <x:v>Mohegan Tribe of Indians of Connecticut - Uncasville, CT</x:v>
      </x:c>
      <x:c r="D81" s="50" t="n">
        <x:v>1003597</x:v>
      </x:c>
      <x:c r="E81" s="50" t="str">
        <x:v>MOHEGAN TRIBE OF INDIANS OF CONNECTICUT</x:v>
      </x:c>
      <x:c r="F81" s="50" t="str">
        <x:v>Other</x:v>
      </x:c>
      <x:c r="G81" s="48" t="str">
        <x:v>Uncasville</x:v>
      </x:c>
      <x:c r="H81" s="48" t="str">
        <x:v>CT</x:v>
      </x:c>
      <x:c r="I81" s="48" t="str">
        <x:v>06382</x:v>
      </x:c>
      <x:c r="J81" s="52" t="n">
        <x:v>28084.884</x:v>
      </x:c>
      <x:c r="K81" s="48" t="str">
        <x:v>No</x:v>
      </x:c>
      <x:c r="L81" s="50" t="str"/>
      <x:c r="M81" s="50" t="str">
        <x:v>https://www.epa.gov/ghgreporting/data-sets</x:v>
      </x:c>
      <x:c r="N81" s="53" t="n">
        <x:v>46233</x:v>
      </x:c>
    </x:row>
    <x:row r="82">
      <x:c r="A82" s="48" t="str">
        <x:v>RAW-078</x:v>
      </x:c>
      <x:c r="B82" s="48" t="str">
        <x:v>GHGRP-1001811</x:v>
      </x:c>
      <x:c r="C82" s="50" t="str">
        <x:v>BROWN UNIVERSITY MAIN CAMPUS - Providence, RI</x:v>
      </x:c>
      <x:c r="D82" s="50" t="n">
        <x:v>1001811</x:v>
      </x:c>
      <x:c r="E82" s="50" t="str">
        <x:v>Brown University</x:v>
      </x:c>
      <x:c r="F82" s="50" t="str">
        <x:v>Other</x:v>
      </x:c>
      <x:c r="G82" s="48" t="str">
        <x:v>Providence</x:v>
      </x:c>
      <x:c r="H82" s="48" t="str">
        <x:v>RI</x:v>
      </x:c>
      <x:c r="I82" s="48" t="str">
        <x:v>02912</x:v>
      </x:c>
      <x:c r="J82" s="52" t="n">
        <x:v>24994.456</x:v>
      </x:c>
      <x:c r="K82" s="48" t="str">
        <x:v>No</x:v>
      </x:c>
      <x:c r="L82" s="50" t="str"/>
      <x:c r="M82" s="50" t="str">
        <x:v>https://www.epa.gov/ghgreporting/data-sets</x:v>
      </x:c>
      <x:c r="N82" s="53" t="n">
        <x:v>46233</x:v>
      </x:c>
    </x:row>
    <x:row r="83">
      <x:c r="A83" s="48" t="str">
        <x:v>RAW-079</x:v>
      </x:c>
      <x:c r="B83" s="48" t="str">
        <x:v>GHGRP-1012083</x:v>
      </x:c>
      <x:c r="C83" s="50" t="str">
        <x:v>University of New Hampshire - Durham, NH</x:v>
      </x:c>
      <x:c r="D83" s="50" t="n">
        <x:v>1012083</x:v>
      </x:c>
      <x:c r="E83" s="50" t="str">
        <x:v>UNIVERSITY SYSTEM OF NEW HAMPSHIRE</x:v>
      </x:c>
      <x:c r="F83" s="50" t="str">
        <x:v>Other</x:v>
      </x:c>
      <x:c r="G83" s="48" t="str">
        <x:v>Durham</x:v>
      </x:c>
      <x:c r="H83" s="48" t="str">
        <x:v>NH</x:v>
      </x:c>
      <x:c r="I83" s="48" t="str">
        <x:v>03824</x:v>
      </x:c>
      <x:c r="J83" s="52" t="n">
        <x:v>20385.006</x:v>
      </x:c>
      <x:c r="K83" s="48" t="str">
        <x:v>No</x:v>
      </x:c>
      <x:c r="L83" s="50" t="str"/>
      <x:c r="M83" s="50" t="str">
        <x:v>https://www.epa.gov/ghgreporting/data-sets</x:v>
      </x:c>
      <x:c r="N83" s="53" t="n">
        <x:v>46233</x:v>
      </x:c>
    </x:row>
    <x:row r="84">
      <x:c r="A84" s="48" t="str">
        <x:v>RAW-080</x:v>
      </x:c>
      <x:c r="B84" s="48" t="str">
        <x:v>GHGRP-1005253</x:v>
      </x:c>
      <x:c r="C84" s="50" t="str">
        <x:v>JUNIPER RIDGE LANDFILL - Old Town, ME</x:v>
      </x:c>
      <x:c r="D84" s="50" t="n">
        <x:v>1005253</x:v>
      </x:c>
      <x:c r="E84" s="50" t="str">
        <x:v>CASELLA WASTE SYSTEMS INC</x:v>
      </x:c>
      <x:c r="F84" s="50" t="str">
        <x:v>Waste</x:v>
      </x:c>
      <x:c r="G84" s="48" t="str">
        <x:v>Old Town</x:v>
      </x:c>
      <x:c r="H84" s="48" t="str">
        <x:v>ME</x:v>
      </x:c>
      <x:c r="I84" s="48" t="str">
        <x:v>04468</x:v>
      </x:c>
      <x:c r="J84" s="52" t="n">
        <x:v>69031.05</x:v>
      </x:c>
      <x:c r="K84" s="48" t="str">
        <x:v>No</x:v>
      </x:c>
      <x:c r="L84" s="50" t="str"/>
      <x:c r="M84" s="50" t="str">
        <x:v>https://www.epa.gov/ghgreporting/data-sets</x:v>
      </x:c>
      <x:c r="N84" s="53" t="n">
        <x:v>46233</x:v>
      </x:c>
    </x:row>
    <x:row r="85">
      <x:c r="A85" s="48" t="str">
        <x:v>RAW-081</x:v>
      </x:c>
      <x:c r="B85" s="48" t="str">
        <x:v>GHGRP-1005261</x:v>
      </x:c>
      <x:c r="C85" s="50" t="str">
        <x:v>NEWSVT LANDFILL - Coventry, VT</x:v>
      </x:c>
      <x:c r="D85" s="50" t="n">
        <x:v>1005261</x:v>
      </x:c>
      <x:c r="E85" s="50" t="str">
        <x:v>CASELLA WASTE SYSTEMS INC</x:v>
      </x:c>
      <x:c r="F85" s="50" t="str">
        <x:v>Waste</x:v>
      </x:c>
      <x:c r="G85" s="48" t="str">
        <x:v>Coventry</x:v>
      </x:c>
      <x:c r="H85" s="48" t="str">
        <x:v>VT</x:v>
      </x:c>
      <x:c r="I85" s="48" t="str">
        <x:v>05855</x:v>
      </x:c>
      <x:c r="J85" s="52" t="n">
        <x:v>62901.9</x:v>
      </x:c>
      <x:c r="K85" s="48" t="str">
        <x:v>No</x:v>
      </x:c>
      <x:c r="L85" s="50" t="str"/>
      <x:c r="M85" s="50" t="str">
        <x:v>https://www.epa.gov/ghgreporting/data-sets</x:v>
      </x:c>
      <x:c r="N85" s="53" t="n">
        <x:v>46233</x:v>
      </x:c>
    </x:row>
    <x:row r="86">
      <x:c r="A86" s="48" t="str">
        <x:v>RAW-082</x:v>
      </x:c>
      <x:c r="B86" s="48" t="str">
        <x:v>GHGRP-1005673</x:v>
      </x:c>
      <x:c r="C86" s="50" t="str">
        <x:v>REGIONAL WASTE SYSTEMS INCORPORATED - Portland, ME</x:v>
      </x:c>
      <x:c r="D86" s="50" t="n">
        <x:v>1005673</x:v>
      </x:c>
      <x:c r="E86" s="50" t="str">
        <x:v>ECOMAINE</x:v>
      </x:c>
      <x:c r="F86" s="50" t="str">
        <x:v>Waste</x:v>
      </x:c>
      <x:c r="G86" s="48" t="str">
        <x:v>Portland</x:v>
      </x:c>
      <x:c r="H86" s="48" t="str">
        <x:v>ME</x:v>
      </x:c>
      <x:c r="I86" s="48" t="str">
        <x:v>04102</x:v>
      </x:c>
      <x:c r="J86" s="52" t="n">
        <x:v>62777.74</x:v>
      </x:c>
      <x:c r="K86" s="48" t="str">
        <x:v>No</x:v>
      </x:c>
      <x:c r="L86" s="50" t="str"/>
      <x:c r="M86" s="50" t="str">
        <x:v>https://www.epa.gov/ghgreporting/data-sets</x:v>
      </x:c>
      <x:c r="N86" s="53" t="n">
        <x:v>46233</x:v>
      </x:c>
    </x:row>
    <x:row r="87">
      <x:c r="A87" s="48" t="str">
        <x:v>RAW-083</x:v>
      </x:c>
      <x:c r="B87" s="48" t="str">
        <x:v>GHGRP-1006864</x:v>
      </x:c>
      <x:c r="C87" s="50" t="str">
        <x:v>Bellingham Power Generation LLC - Bellingham, MA</x:v>
      </x:c>
      <x:c r="D87" s="50" t="n">
        <x:v>1006864</x:v>
      </x:c>
      <x:c r="E87" s="50" t="str">
        <x:v>Vistra Corp</x:v>
      </x:c>
      <x:c r="F87" s="50" t="str">
        <x:v>Power Plants</x:v>
      </x:c>
      <x:c r="G87" s="48" t="str">
        <x:v>Bellingham</x:v>
      </x:c>
      <x:c r="H87" s="48" t="str">
        <x:v>MA</x:v>
      </x:c>
      <x:c r="I87" s="48" t="str">
        <x:v>02019</x:v>
      </x:c>
      <x:c r="J87" s="52" t="n">
        <x:v>1217538.088</x:v>
      </x:c>
      <x:c r="K87" s="48" t="str">
        <x:v>No</x:v>
      </x:c>
      <x:c r="L87" s="50" t="str"/>
      <x:c r="M87" s="50" t="str">
        <x:v>https://www.epa.gov/ghgreporting/data-sets</x:v>
      </x:c>
      <x:c r="N87" s="53" t="n">
        <x:v>46233</x:v>
      </x:c>
    </x:row>
    <x:row r="88">
      <x:c r="A88" s="48" t="str">
        <x:v>RAW-084</x:v>
      </x:c>
      <x:c r="B88" s="48" t="str">
        <x:v>GHGRP-1006657</x:v>
      </x:c>
      <x:c r="C88" s="50" t="str">
        <x:v>Blackstone Power Generation LLC - Blackstone, MA</x:v>
      </x:c>
      <x:c r="D88" s="50" t="n">
        <x:v>1006657</x:v>
      </x:c>
      <x:c r="E88" s="50" t="str">
        <x:v>Vistra Corp</x:v>
      </x:c>
      <x:c r="F88" s="50" t="str">
        <x:v>Power Plants</x:v>
      </x:c>
      <x:c r="G88" s="48" t="str">
        <x:v>Blackstone</x:v>
      </x:c>
      <x:c r="H88" s="48" t="str">
        <x:v>MA</x:v>
      </x:c>
      <x:c r="I88" s="48" t="str">
        <x:v>01504</x:v>
      </x:c>
      <x:c r="J88" s="52" t="n">
        <x:v>1080446.796</x:v>
      </x:c>
      <x:c r="K88" s="48" t="str">
        <x:v>No</x:v>
      </x:c>
      <x:c r="L88" s="50" t="str"/>
      <x:c r="M88" s="50" t="str">
        <x:v>https://www.epa.gov/ghgreporting/data-sets</x:v>
      </x:c>
      <x:c r="N88" s="53" t="n">
        <x:v>46233</x:v>
      </x:c>
    </x:row>
    <x:row r="89">
      <x:c r="A89" s="48" t="str">
        <x:v>RAW-085</x:v>
      </x:c>
      <x:c r="B89" s="48" t="str">
        <x:v>GHGRP-1001410</x:v>
      </x:c>
      <x:c r="C89" s="50" t="str">
        <x:v>Fore River Energy Center - Weymouth, MA</x:v>
      </x:c>
      <x:c r="D89" s="50" t="n">
        <x:v>1001410</x:v>
      </x:c>
      <x:c r="E89" s="50" t="str">
        <x:v>CPN MANAGEMENT LP</x:v>
      </x:c>
      <x:c r="F89" s="50" t="str">
        <x:v>Power Plants</x:v>
      </x:c>
      <x:c r="G89" s="48" t="str">
        <x:v>Weymouth</x:v>
      </x:c>
      <x:c r="H89" s="48" t="str">
        <x:v>MA</x:v>
      </x:c>
      <x:c r="I89" s="48" t="str">
        <x:v>02191</x:v>
      </x:c>
      <x:c r="J89" s="52" t="n">
        <x:v>886336.582</x:v>
      </x:c>
      <x:c r="K89" s="48" t="str">
        <x:v>No</x:v>
      </x:c>
      <x:c r="L89" s="50" t="str"/>
      <x:c r="M89" s="50" t="str">
        <x:v>https://www.epa.gov/ghgreporting/data-sets</x:v>
      </x:c>
      <x:c r="N89" s="53" t="n">
        <x:v>46233</x:v>
      </x:c>
    </x:row>
    <x:row r="90">
      <x:c r="A90" s="48" t="str">
        <x:v>RAW-086</x:v>
      </x:c>
      <x:c r="B90" s="48" t="str">
        <x:v>GHGRP-1000657</x:v>
      </x:c>
      <x:c r="C90" s="50" t="str">
        <x:v>Kendall Green Energy - Cambridge, MA</x:v>
      </x:c>
      <x:c r="D90" s="50" t="n">
        <x:v>1000657</x:v>
      </x:c>
      <x:c r="E90" s="50" t="str">
        <x:v>VICINITY ENERGY INC</x:v>
      </x:c>
      <x:c r="F90" s="50" t="str">
        <x:v>Power Plants</x:v>
      </x:c>
      <x:c r="G90" s="48" t="str">
        <x:v>Cambridge</x:v>
      </x:c>
      <x:c r="H90" s="48" t="str">
        <x:v>MA</x:v>
      </x:c>
      <x:c r="I90" s="48" t="str">
        <x:v>02142</x:v>
      </x:c>
      <x:c r="J90" s="52" t="n">
        <x:v>788059.912</x:v>
      </x:c>
      <x:c r="K90" s="48" t="str">
        <x:v>No</x:v>
      </x:c>
      <x:c r="L90" s="50" t="str"/>
      <x:c r="M90" s="50" t="str">
        <x:v>https://www.epa.gov/ghgreporting/data-sets</x:v>
      </x:c>
      <x:c r="N90" s="53" t="n">
        <x:v>46233</x:v>
      </x:c>
    </x:row>
    <x:row r="91">
      <x:c r="A91" s="48" t="str">
        <x:v>RAW-087</x:v>
      </x:c>
      <x:c r="B91" s="48" t="str">
        <x:v>GHGRP-1000653</x:v>
      </x:c>
      <x:c r="C91" s="50" t="str">
        <x:v>Mystic - Charlestown, MA</x:v>
      </x:c>
      <x:c r="D91" s="50" t="n">
        <x:v>1000653</x:v>
      </x:c>
      <x:c r="E91" s="50" t="str">
        <x:v>CONSTELLATION ENERGY CORP</x:v>
      </x:c>
      <x:c r="F91" s="50" t="str">
        <x:v>Power Plants</x:v>
      </x:c>
      <x:c r="G91" s="48" t="str">
        <x:v>Charlestown</x:v>
      </x:c>
      <x:c r="H91" s="48" t="str">
        <x:v>MA</x:v>
      </x:c>
      <x:c r="I91" s="48" t="str">
        <x:v>02129</x:v>
      </x:c>
      <x:c r="J91" s="52" t="n">
        <x:v>528357.044</x:v>
      </x:c>
      <x:c r="K91" s="48" t="str">
        <x:v>No</x:v>
      </x:c>
      <x:c r="L91" s="50" t="str"/>
      <x:c r="M91" s="50" t="str">
        <x:v>https://www.epa.gov/ghgreporting/data-sets</x:v>
      </x:c>
      <x:c r="N91" s="53" t="n">
        <x:v>46233</x:v>
      </x:c>
    </x:row>
    <x:row r="92">
      <x:c r="A92" s="48" t="str">
        <x:v>RAW-088</x:v>
      </x:c>
      <x:c r="B92" s="48" t="str">
        <x:v>GHGRP-1004084</x:v>
      </x:c>
      <x:c r="C92" s="50" t="str">
        <x:v>MOUNT CARBERRY LANDFILL - Berlin, NH</x:v>
      </x:c>
      <x:c r="D92" s="50" t="n">
        <x:v>1004084</x:v>
      </x:c>
      <x:c r="E92" s="50" t="str">
        <x:v>ANDROSCOGGIN VALLEY REGIONAL REFUSE</x:v>
      </x:c>
      <x:c r="F92" s="50" t="str">
        <x:v>Waste</x:v>
      </x:c>
      <x:c r="G92" s="48" t="str">
        <x:v>Berlin</x:v>
      </x:c>
      <x:c r="H92" s="48" t="str">
        <x:v>NH</x:v>
      </x:c>
      <x:c r="I92" s="48" t="str">
        <x:v>03570</x:v>
      </x:c>
      <x:c r="J92" s="52" t="n">
        <x:v>49799.75</x:v>
      </x:c>
      <x:c r="K92" s="48" t="str">
        <x:v>No</x:v>
      </x:c>
      <x:c r="L92" s="50" t="str"/>
      <x:c r="M92" s="50" t="str">
        <x:v>https://www.epa.gov/ghgreporting/data-sets</x:v>
      </x:c>
      <x:c r="N92" s="53" t="n">
        <x:v>46233</x:v>
      </x:c>
    </x:row>
    <x:row r="93">
      <x:c r="A93" s="48" t="str">
        <x:v>RAW-089</x:v>
      </x:c>
      <x:c r="B93" s="48" t="str">
        <x:v>GHGRP-1004751</x:v>
      </x:c>
      <x:c r="C93" s="50" t="str">
        <x:v>FOUR HILLS LANDFILL - Nashua, NH</x:v>
      </x:c>
      <x:c r="D93" s="50" t="n">
        <x:v>1004751</x:v>
      </x:c>
      <x:c r="E93" s="50" t="str">
        <x:v>CITY OF NASHUA DEPARTMENT OF PUBLIC WORKS</x:v>
      </x:c>
      <x:c r="F93" s="50" t="str">
        <x:v>Waste</x:v>
      </x:c>
      <x:c r="G93" s="48" t="str">
        <x:v>Nashua</x:v>
      </x:c>
      <x:c r="H93" s="48" t="str">
        <x:v>NH</x:v>
      </x:c>
      <x:c r="I93" s="48" t="str">
        <x:v>03062</x:v>
      </x:c>
      <x:c r="J93" s="52" t="n">
        <x:v>10010.7</x:v>
      </x:c>
      <x:c r="K93" s="48" t="str">
        <x:v>No</x:v>
      </x:c>
      <x:c r="L93" s="50" t="str"/>
      <x:c r="M93" s="50" t="str">
        <x:v>https://www.epa.gov/ghgreporting/data-sets</x:v>
      </x:c>
      <x:c r="N93" s="53" t="n">
        <x:v>46233</x:v>
      </x:c>
    </x:row>
    <x:row r="94">
      <x:c r="A94" s="48" t="str">
        <x:v>RAW-090</x:v>
      </x:c>
      <x:c r="B94" s="48" t="str">
        <x:v>GHGRP-1006421</x:v>
      </x:c>
      <x:c r="C94" s="50" t="str">
        <x:v>LEBANON LANDFILL AND RECYCLING CENTER - West Lebanon, NH</x:v>
      </x:c>
      <x:c r="D94" s="50" t="n">
        <x:v>1006421</x:v>
      </x:c>
      <x:c r="E94" s="50" t="str">
        <x:v>CITY OF LEBANON NEW HAMPSHIRE</x:v>
      </x:c>
      <x:c r="F94" s="50" t="str">
        <x:v>Waste</x:v>
      </x:c>
      <x:c r="G94" s="48" t="str">
        <x:v>West Lebanon</x:v>
      </x:c>
      <x:c r="H94" s="48" t="str">
        <x:v>NH</x:v>
      </x:c>
      <x:c r="I94" s="48" t="str">
        <x:v>03784</x:v>
      </x:c>
      <x:c r="J94" s="52" t="n">
        <x:v>9028.4</x:v>
      </x:c>
      <x:c r="K94" s="48" t="str">
        <x:v>No</x:v>
      </x:c>
      <x:c r="L94" s="50" t="str"/>
      <x:c r="M94" s="50" t="str">
        <x:v>https://www.epa.gov/ghgreporting/data-sets</x:v>
      </x:c>
      <x:c r="N94" s="53" t="n">
        <x:v>46233</x:v>
      </x:c>
    </x:row>
    <x:row r="95">
      <x:c r="A95" s="48" t="str">
        <x:v>RAW-091</x:v>
      </x:c>
      <x:c r="B95" s="48" t="str">
        <x:v>GHGRP-1006283</x:v>
      </x:c>
      <x:c r="C95" s="50" t="str">
        <x:v>RHODE ISLAND Resource Recovery Corporation - Johnston, RI</x:v>
      </x:c>
      <x:c r="D95" s="50" t="n">
        <x:v>1006283</x:v>
      </x:c>
      <x:c r="E95" s="50" t="str">
        <x:v>RHODE ISLAND RESOURCE RECOVERY CORP</x:v>
      </x:c>
      <x:c r="F95" s="50" t="str">
        <x:v>Waste</x:v>
      </x:c>
      <x:c r="G95" s="48" t="str">
        <x:v>Johnston</x:v>
      </x:c>
      <x:c r="H95" s="48" t="str">
        <x:v>RI</x:v>
      </x:c>
      <x:c r="I95" s="48" t="str">
        <x:v>02919</x:v>
      </x:c>
      <x:c r="J95" s="52" t="n">
        <x:v>5354.146</x:v>
      </x:c>
      <x:c r="K95" s="48" t="str">
        <x:v>No</x:v>
      </x:c>
      <x:c r="L95" s="50" t="str"/>
      <x:c r="M95" s="50" t="str">
        <x:v>https://www.epa.gov/ghgreporting/data-sets</x:v>
      </x:c>
      <x:c r="N95" s="53" t="n">
        <x:v>46233</x:v>
      </x:c>
    </x:row>
    <x:row r="96">
      <x:c r="A96" s="48" t="str">
        <x:v>RAW-092</x:v>
      </x:c>
      <x:c r="B96" s="48" t="str">
        <x:v>GHGRP-1002017</x:v>
      </x:c>
      <x:c r="C96" s="50" t="str">
        <x:v>University of Maine - Orono, ME</x:v>
      </x:c>
      <x:c r="D96" s="50" t="n">
        <x:v>1002017</x:v>
      </x:c>
      <x:c r="E96" s="50" t="str">
        <x:v>UNIVERSITY OF MAINE SYSTEM</x:v>
      </x:c>
      <x:c r="F96" s="50" t="str">
        <x:v>Other</x:v>
      </x:c>
      <x:c r="G96" s="48" t="str">
        <x:v>Orono</x:v>
      </x:c>
      <x:c r="H96" s="48" t="str">
        <x:v>ME</x:v>
      </x:c>
      <x:c r="I96" s="48" t="str">
        <x:v>04469</x:v>
      </x:c>
      <x:c r="J96" s="52" t="n">
        <x:v>27604.832</x:v>
      </x:c>
      <x:c r="K96" s="48" t="str">
        <x:v>No</x:v>
      </x:c>
      <x:c r="L96" s="50" t="str"/>
      <x:c r="M96" s="50" t="str">
        <x:v>https://www.epa.gov/ghgreporting/data-sets</x:v>
      </x:c>
      <x:c r="N96" s="53" t="n">
        <x:v>46233</x:v>
      </x:c>
    </x:row>
    <x:row r="97">
      <x:c r="A97" s="48" t="str">
        <x:v>RAW-093</x:v>
      </x:c>
      <x:c r="B97" s="48" t="str">
        <x:v>GHGRP-1002803</x:v>
      </x:c>
      <x:c r="C97" s="50" t="str">
        <x:v>University of Vermont and State Agricultural College - Burlington, VT</x:v>
      </x:c>
      <x:c r="D97" s="50" t="n">
        <x:v>1002803</x:v>
      </x:c>
      <x:c r="E97" s="50" t="str">
        <x:v>UNIVERSITY OF VERMONT &amp; STATE AGRICULTURAL COLLEGE</x:v>
      </x:c>
      <x:c r="F97" s="50" t="str">
        <x:v>Other</x:v>
      </x:c>
      <x:c r="G97" s="48" t="str">
        <x:v>Burlington</x:v>
      </x:c>
      <x:c r="H97" s="48" t="str">
        <x:v>VT</x:v>
      </x:c>
      <x:c r="I97" s="48" t="str">
        <x:v>05405</x:v>
      </x:c>
      <x:c r="J97" s="52" t="n">
        <x:v>26908.246</x:v>
      </x:c>
      <x:c r="K97" s="48" t="str">
        <x:v>No</x:v>
      </x:c>
      <x:c r="L97" s="50" t="str"/>
      <x:c r="M97" s="50" t="str">
        <x:v>https://www.epa.gov/ghgreporting/data-sets</x:v>
      </x:c>
      <x:c r="N97" s="53" t="n">
        <x:v>46233</x:v>
      </x:c>
    </x:row>
    <x:row r="98">
      <x:c r="A98" s="48" t="str">
        <x:v>RAW-094</x:v>
      </x:c>
      <x:c r="B98" s="48" t="str">
        <x:v>GHGRP-1011251</x:v>
      </x:c>
      <x:c r="C98" s="50" t="str">
        <x:v>Omya Inc. (Verpol) - Florence, VT</x:v>
      </x:c>
      <x:c r="D98" s="50" t="n">
        <x:v>1011251</x:v>
      </x:c>
      <x:c r="E98" s="50" t="str">
        <x:v>OMYA INDUSTRIES INC</x:v>
      </x:c>
      <x:c r="F98" s="50" t="str">
        <x:v>Other</x:v>
      </x:c>
      <x:c r="G98" s="48" t="str">
        <x:v>Florence</x:v>
      </x:c>
      <x:c r="H98" s="48" t="str">
        <x:v>VT</x:v>
      </x:c>
      <x:c r="I98" s="48" t="str">
        <x:v>05701</x:v>
      </x:c>
      <x:c r="J98" s="52" t="n">
        <x:v>25019.956</x:v>
      </x:c>
      <x:c r="K98" s="48" t="str">
        <x:v>No</x:v>
      </x:c>
      <x:c r="L98" s="50" t="str"/>
      <x:c r="M98" s="50" t="str">
        <x:v>https://www.epa.gov/ghgreporting/data-sets</x:v>
      </x:c>
      <x:c r="N98" s="53" t="n">
        <x:v>46233</x:v>
      </x:c>
    </x:row>
    <x:row r="99">
      <x:c r="A99" s="48" t="str">
        <x:v>RAW-095</x:v>
      </x:c>
      <x:c r="B99" s="48" t="str">
        <x:v>GHGRP-1013349</x:v>
      </x:c>
      <x:c r="C99" s="50" t="str">
        <x:v>Northern Light - Eastern Maine Medical Center - Bangor, ME</x:v>
      </x:c>
      <x:c r="D99" s="50" t="n">
        <x:v>1013349</x:v>
      </x:c>
      <x:c r="E99" s="50" t="str">
        <x:v>NORTHERN LIGHT HEALTH</x:v>
      </x:c>
      <x:c r="F99" s="50" t="str">
        <x:v>Other</x:v>
      </x:c>
      <x:c r="G99" s="48" t="str">
        <x:v>Bangor</x:v>
      </x:c>
      <x:c r="H99" s="48" t="str">
        <x:v>ME</x:v>
      </x:c>
      <x:c r="I99" s="48" t="str">
        <x:v>04401</x:v>
      </x:c>
      <x:c r="J99" s="52" t="n">
        <x:v>24023.36</x:v>
      </x:c>
      <x:c r="K99" s="48" t="str">
        <x:v>No</x:v>
      </x:c>
      <x:c r="L99" s="50" t="str"/>
      <x:c r="M99" s="50" t="str">
        <x:v>https://www.epa.gov/ghgreporting/data-sets</x:v>
      </x:c>
      <x:c r="N99" s="53" t="n">
        <x:v>46233</x:v>
      </x:c>
    </x:row>
    <x:row r="100">
      <x:c r="A100" s="48" t="str">
        <x:v>RAW-096</x:v>
      </x:c>
      <x:c r="B100" s="48" t="str">
        <x:v>GHGRP-1013584</x:v>
      </x:c>
      <x:c r="C100" s="50" t="str">
        <x:v>Pioneer Plastics Corporation - Auburn, ME</x:v>
      </x:c>
      <x:c r="D100" s="50" t="n">
        <x:v>1013584</x:v>
      </x:c>
      <x:c r="E100" s="50" t="str">
        <x:v>PANOLAM INDUSTRIES INTERNATIONAL INC</x:v>
      </x:c>
      <x:c r="F100" s="50" t="str">
        <x:v>Other</x:v>
      </x:c>
      <x:c r="G100" s="48" t="str">
        <x:v>Auburn</x:v>
      </x:c>
      <x:c r="H100" s="48" t="str">
        <x:v>ME</x:v>
      </x:c>
      <x:c r="I100" s="48" t="str">
        <x:v>04210</x:v>
      </x:c>
      <x:c r="J100" s="52" t="n">
        <x:v>22346.172</x:v>
      </x:c>
      <x:c r="K100" s="48" t="str">
        <x:v>No</x:v>
      </x:c>
      <x:c r="L100" s="50" t="str"/>
      <x:c r="M100" s="50" t="str">
        <x:v>https://www.epa.gov/ghgreporting/data-sets</x:v>
      </x:c>
      <x:c r="N100" s="53" t="n">
        <x:v>46233</x:v>
      </x:c>
    </x:row>
    <x:row r="101">
      <x:c r="A101" s="48" t="str">
        <x:v>RAW-097</x:v>
      </x:c>
      <x:c r="B101" s="48" t="str">
        <x:v>GHGRP-1009581</x:v>
      </x:c>
      <x:c r="C101" s="50" t="str">
        <x:v>Diodes US Manufacturing Incorporated - South Portland, ME</x:v>
      </x:c>
      <x:c r="D101" s="50" t="n">
        <x:v>1009581</x:v>
      </x:c>
      <x:c r="E101" s="50" t="str">
        <x:v>DIODES INC</x:v>
      </x:c>
      <x:c r="F101" s="50" t="str">
        <x:v>Other</x:v>
      </x:c>
      <x:c r="G101" s="48" t="str">
        <x:v>South Portland</x:v>
      </x:c>
      <x:c r="H101" s="48" t="str">
        <x:v>ME</x:v>
      </x:c>
      <x:c r="I101" s="48" t="str">
        <x:v>04106</x:v>
      </x:c>
      <x:c r="J101" s="52" t="n">
        <x:v>20237.05797</x:v>
      </x:c>
      <x:c r="K101" s="48" t="str">
        <x:v>No</x:v>
      </x:c>
      <x:c r="L101" s="50" t="str"/>
      <x:c r="M101" s="50" t="str">
        <x:v>https://www.epa.gov/ghgreporting/data-sets</x:v>
      </x:c>
      <x:c r="N101" s="53" t="n">
        <x:v>46233</x:v>
      </x:c>
    </x:row>
    <x:row r="102">
      <x:c r="A102" s="48" t="str">
        <x:v>RAW-098</x:v>
      </x:c>
      <x:c r="B102" s="48" t="str">
        <x:v>GHGRP-1006917</x:v>
      </x:c>
      <x:c r="C102" s="50" t="str">
        <x:v>International N&amp;H USA, INC - Rockland, ME</x:v>
      </x:c>
      <x:c r="D102" s="50" t="n">
        <x:v>1006917</x:v>
      </x:c>
      <x:c r="E102" s="50" t="str">
        <x:v>INTERNATIONAL FLAVORS &amp; FRAGRANCES INC</x:v>
      </x:c>
      <x:c r="F102" s="50" t="str">
        <x:v>Other</x:v>
      </x:c>
      <x:c r="G102" s="48" t="str">
        <x:v>Rockland</x:v>
      </x:c>
      <x:c r="H102" s="48" t="str">
        <x:v>ME</x:v>
      </x:c>
      <x:c r="I102" s="48" t="str">
        <x:v>04841</x:v>
      </x:c>
      <x:c r="J102" s="52" t="n">
        <x:v>12584.94</x:v>
      </x:c>
      <x:c r="K102" s="48" t="str">
        <x:v>No</x:v>
      </x:c>
      <x:c r="L102" s="50" t="str"/>
      <x:c r="M102" s="50" t="str">
        <x:v>https://www.epa.gov/ghgreporting/data-sets</x:v>
      </x:c>
      <x:c r="N102" s="53" t="n">
        <x:v>46233</x:v>
      </x:c>
    </x:row>
    <x:row r="103">
      <x:c r="A103" s="48" t="str">
        <x:v>RAW-099</x:v>
      </x:c>
      <x:c r="B103" s="48" t="str">
        <x:v>GHGRP-1002915</x:v>
      </x:c>
      <x:c r="C103" s="50" t="str">
        <x:v>ANHEUSER-BUSCH LLC - Merrimack, NH</x:v>
      </x:c>
      <x:c r="D103" s="50" t="n">
        <x:v>1002915</x:v>
      </x:c>
      <x:c r="E103" s="50" t="str">
        <x:v>ANHEUSER-BUSCH COS LLC</x:v>
      </x:c>
      <x:c r="F103" s="50" t="str">
        <x:v>Other,Suppliers of CO2</x:v>
      </x:c>
      <x:c r="G103" s="48" t="str">
        <x:v>Merrimack</x:v>
      </x:c>
      <x:c r="H103" s="48" t="str">
        <x:v>NH</x:v>
      </x:c>
      <x:c r="I103" s="48" t="str">
        <x:v>03054</x:v>
      </x:c>
      <x:c r="J103" s="52" t="n">
        <x:v>10838.138</x:v>
      </x:c>
      <x:c r="K103" s="48" t="str">
        <x:v>No</x:v>
      </x:c>
      <x:c r="L103" s="50" t="str"/>
      <x:c r="M103" s="50" t="str">
        <x:v>https://www.epa.gov/ghgreporting/data-sets</x:v>
      </x:c>
      <x:c r="N103" s="53" t="n">
        <x:v>46233</x:v>
      </x:c>
    </x:row>
    <x:row r="104">
      <x:c r="A104" s="48" t="str">
        <x:v>RAW-100</x:v>
      </x:c>
      <x:c r="B104" s="48" t="str">
        <x:v>GHGRP-1006130</x:v>
      </x:c>
      <x:c r="C104" s="50" t="str">
        <x:v>Cromwell - Cromwell, CT</x:v>
      </x:c>
      <x:c r="D104" s="50" t="n">
        <x:v>1006130</x:v>
      </x:c>
      <x:c r="E104" s="50" t="str">
        <x:v>Enbridge (US) Inc</x:v>
      </x:c>
      <x:c r="F104" s="50" t="str">
        <x:v>Petroleum and Natural Gas Systems</x:v>
      </x:c>
      <x:c r="G104" s="48" t="str">
        <x:v>Cromwell</x:v>
      </x:c>
      <x:c r="H104" s="48" t="str">
        <x:v>CT</x:v>
      </x:c>
      <x:c r="I104" s="48" t="str">
        <x:v>06416</x:v>
      </x:c>
      <x:c r="J104" s="52" t="n">
        <x:v>67979.902</x:v>
      </x:c>
      <x:c r="K104" s="48" t="str">
        <x:v>No</x:v>
      </x:c>
      <x:c r="L104" s="50" t="str"/>
      <x:c r="M104" s="50" t="str">
        <x:v>https://www.epa.gov/ghgreporting/data-sets</x:v>
      </x:c>
      <x:c r="N104" s="53" t="n">
        <x:v>46233</x:v>
      </x:c>
    </x:row>
    <x:row r="105">
      <x:c r="A105" s="48" t="str">
        <x:v>RAW-101</x:v>
      </x:c>
      <x:c r="B105" s="48" t="str">
        <x:v>GHGRP-1000206</x:v>
      </x:c>
      <x:c r="C105" s="50" t="str">
        <x:v>Burrillville - Pascoag, RI</x:v>
      </x:c>
      <x:c r="D105" s="50" t="n">
        <x:v>1000206</x:v>
      </x:c>
      <x:c r="E105" s="50" t="str">
        <x:v>Enbridge (US) Inc</x:v>
      </x:c>
      <x:c r="F105" s="50" t="str">
        <x:v>Petroleum and Natural Gas Systems</x:v>
      </x:c>
      <x:c r="G105" s="48" t="str">
        <x:v>Pascoag</x:v>
      </x:c>
      <x:c r="H105" s="48" t="str">
        <x:v>RI</x:v>
      </x:c>
      <x:c r="I105" s="48" t="str">
        <x:v>02859</x:v>
      </x:c>
      <x:c r="J105" s="52" t="n">
        <x:v>61368.376</x:v>
      </x:c>
      <x:c r="K105" s="48" t="str">
        <x:v>No</x:v>
      </x:c>
      <x:c r="L105" s="50" t="str"/>
      <x:c r="M105" s="50" t="str">
        <x:v>https://www.epa.gov/ghgreporting/data-sets</x:v>
      </x:c>
      <x:c r="N105" s="53" t="n">
        <x:v>46233</x:v>
      </x:c>
    </x:row>
    <x:row r="106">
      <x:c r="A106" s="48" t="str">
        <x:v>RAW-102</x:v>
      </x:c>
      <x:c r="B106" s="48" t="str">
        <x:v>GHGRP-1008158</x:v>
      </x:c>
      <x:c r="C106" s="50" t="str">
        <x:v>Oxford Station - Oxford, CT</x:v>
      </x:c>
      <x:c r="D106" s="50" t="n">
        <x:v>1008158</x:v>
      </x:c>
      <x:c r="E106" s="50" t="str">
        <x:v>Enbridge (US) Inc</x:v>
      </x:c>
      <x:c r="F106" s="50" t="str">
        <x:v>Petroleum and Natural Gas Systems</x:v>
      </x:c>
      <x:c r="G106" s="48" t="str">
        <x:v>Oxford</x:v>
      </x:c>
      <x:c r="H106" s="48" t="str">
        <x:v>CT</x:v>
      </x:c>
      <x:c r="I106" s="48" t="str">
        <x:v>06478</x:v>
      </x:c>
      <x:c r="J106" s="52" t="n">
        <x:v>55953.394</x:v>
      </x:c>
      <x:c r="K106" s="48" t="str">
        <x:v>No</x:v>
      </x:c>
      <x:c r="L106" s="50" t="str"/>
      <x:c r="M106" s="50" t="str">
        <x:v>https://www.epa.gov/ghgreporting/data-sets</x:v>
      </x:c>
      <x:c r="N106" s="53" t="n">
        <x:v>46233</x:v>
      </x:c>
    </x:row>
    <x:row r="107">
      <x:c r="A107" s="48" t="str">
        <x:v>RAW-103</x:v>
      </x:c>
      <x:c r="B107" s="48" t="str">
        <x:v>GHGRP-1004165</x:v>
      </x:c>
      <x:c r="C107" s="50" t="str">
        <x:v>IROQUOIS GAS TRANSMISSION SYSTEM, L.P. - BROOKFIELD COMPRESSOR STATION - Brookfield, CT</x:v>
      </x:c>
      <x:c r="D107" s="50" t="n">
        <x:v>1004165</x:v>
      </x:c>
      <x:c r="E107" s="50" t="str">
        <x:v>IROQUOIS GAS TRANSMISSION SYSTEM LP</x:v>
      </x:c>
      <x:c r="F107" s="50" t="str">
        <x:v>Petroleum and Natural Gas Systems</x:v>
      </x:c>
      <x:c r="G107" s="48" t="str">
        <x:v>Brookfield</x:v>
      </x:c>
      <x:c r="H107" s="48" t="str">
        <x:v>CT</x:v>
      </x:c>
      <x:c r="I107" s="48" t="str">
        <x:v>06804</x:v>
      </x:c>
      <x:c r="J107" s="52" t="n">
        <x:v>50539.012</x:v>
      </x:c>
      <x:c r="K107" s="48" t="str">
        <x:v>No</x:v>
      </x:c>
      <x:c r="L107" s="50" t="str"/>
      <x:c r="M107" s="50" t="str">
        <x:v>https://www.epa.gov/ghgreporting/data-sets</x:v>
      </x:c>
      <x:c r="N107" s="53" t="n">
        <x:v>46233</x:v>
      </x:c>
    </x:row>
    <x:row r="108">
      <x:c r="A108" s="48" t="str">
        <x:v>RAW-104</x:v>
      </x:c>
      <x:c r="B108" s="48" t="str">
        <x:v>GHGRP-1008146</x:v>
      </x:c>
      <x:c r="C108" s="50" t="str">
        <x:v>Chaplin Station - Chaplin, CT</x:v>
      </x:c>
      <x:c r="D108" s="50" t="n">
        <x:v>1008146</x:v>
      </x:c>
      <x:c r="E108" s="50" t="str">
        <x:v>Enbridge (US) Inc</x:v>
      </x:c>
      <x:c r="F108" s="50" t="str">
        <x:v>Petroleum and Natural Gas Systems</x:v>
      </x:c>
      <x:c r="G108" s="48" t="str">
        <x:v>Chaplin</x:v>
      </x:c>
      <x:c r="H108" s="48" t="str">
        <x:v>CT</x:v>
      </x:c>
      <x:c r="I108" s="48" t="str">
        <x:v>06235</x:v>
      </x:c>
      <x:c r="J108" s="52" t="n">
        <x:v>50426.318</x:v>
      </x:c>
      <x:c r="K108" s="48" t="str">
        <x:v>No</x:v>
      </x:c>
      <x:c r="L108" s="50" t="str"/>
      <x:c r="M108" s="50" t="str">
        <x:v>https://www.epa.gov/ghgreporting/data-sets</x:v>
      </x:c>
      <x:c r="N108" s="53" t="n">
        <x:v>46233</x:v>
      </x:c>
    </x:row>
    <x:row r="109">
      <x:c r="A109" s="48" t="str">
        <x:v>RAW-105</x:v>
      </x:c>
      <x:c r="B109" s="48" t="str">
        <x:v>GHGRP-1009333</x:v>
      </x:c>
      <x:c r="C109" s="50" t="str">
        <x:v>TGP Station 264 Charlton - Charlton, MA</x:v>
      </x:c>
      <x:c r="D109" s="50" t="n">
        <x:v>1009333</x:v>
      </x:c>
      <x:c r="E109" s="50" t="str">
        <x:v>KINDER MORGAN INC</x:v>
      </x:c>
      <x:c r="F109" s="50" t="str">
        <x:v>Petroleum and Natural Gas Systems</x:v>
      </x:c>
      <x:c r="G109" s="48" t="str">
        <x:v>Charlton</x:v>
      </x:c>
      <x:c r="H109" s="48" t="str">
        <x:v>MA</x:v>
      </x:c>
      <x:c r="I109" s="48" t="str">
        <x:v>01507</x:v>
      </x:c>
      <x:c r="J109" s="52" t="n">
        <x:v>32834.178</x:v>
      </x:c>
      <x:c r="K109" s="48" t="str">
        <x:v>No</x:v>
      </x:c>
      <x:c r="L109" s="50" t="str"/>
      <x:c r="M109" s="50" t="str">
        <x:v>https://www.epa.gov/ghgreporting/data-sets</x:v>
      </x:c>
      <x:c r="N109" s="53" t="n">
        <x:v>46233</x:v>
      </x:c>
    </x:row>
    <x:row r="110">
      <x:c r="A110" s="48" t="str">
        <x:v>RAW-106</x:v>
      </x:c>
      <x:c r="B110" s="48" t="str">
        <x:v>GHGRP-1010498</x:v>
      </x:c>
      <x:c r="C110" s="50" t="str">
        <x:v>TGP Station 261 Agawam - Agawam, MA</x:v>
      </x:c>
      <x:c r="D110" s="50" t="n">
        <x:v>1010498</x:v>
      </x:c>
      <x:c r="E110" s="50" t="str">
        <x:v>KINDER MORGAN INC</x:v>
      </x:c>
      <x:c r="F110" s="50" t="str">
        <x:v>Petroleum and Natural Gas Systems</x:v>
      </x:c>
      <x:c r="G110" s="48" t="str">
        <x:v>Agawam</x:v>
      </x:c>
      <x:c r="H110" s="48" t="str">
        <x:v>MA</x:v>
      </x:c>
      <x:c r="I110" s="48" t="str">
        <x:v>01001</x:v>
      </x:c>
      <x:c r="J110" s="52" t="n">
        <x:v>25945.112</x:v>
      </x:c>
      <x:c r="K110" s="48" t="str">
        <x:v>No</x:v>
      </x:c>
      <x:c r="L110" s="50" t="str"/>
      <x:c r="M110" s="50" t="str">
        <x:v>https://www.epa.gov/ghgreporting/data-sets</x:v>
      </x:c>
      <x:c r="N110" s="53" t="n">
        <x:v>46233</x:v>
      </x:c>
    </x:row>
    <x:row r="111">
      <x:c r="A111" s="48" t="str">
        <x:v>RAW-107</x:v>
      </x:c>
      <x:c r="B111" s="48" t="str">
        <x:v>GHGRP-1002283</x:v>
      </x:c>
      <x:c r="C111" s="50" t="str">
        <x:v>MCCAIN FOODS POTATO FACILITY - Easton, ME</x:v>
      </x:c>
      <x:c r="D111" s="50" t="n">
        <x:v>1002283</x:v>
      </x:c>
      <x:c r="E111" s="50" t="str">
        <x:v>MCCAIN USA INC</x:v>
      </x:c>
      <x:c r="F111" s="50" t="str">
        <x:v>Other,Waste</x:v>
      </x:c>
      <x:c r="G111" s="48" t="str">
        <x:v>Easton</x:v>
      </x:c>
      <x:c r="H111" s="48" t="str">
        <x:v>ME</x:v>
      </x:c>
      <x:c r="I111" s="48" t="str">
        <x:v>04740</x:v>
      </x:c>
      <x:c r="J111" s="52" t="n">
        <x:v>21370.586</x:v>
      </x:c>
      <x:c r="K111" s="48" t="str">
        <x:v>No</x:v>
      </x:c>
      <x:c r="L111" s="50" t="str"/>
      <x:c r="M111" s="50" t="str">
        <x:v>https://www.epa.gov/ghgreporting/data-sets</x:v>
      </x:c>
      <x:c r="N111" s="53" t="n">
        <x:v>46233</x:v>
      </x:c>
    </x:row>
    <x:row r="112">
      <x:c r="A112" s="48" t="str">
        <x:v>RAW-108</x:v>
      </x:c>
      <x:c r="B112" s="48" t="str">
        <x:v>GHGRP-1003769</x:v>
      </x:c>
      <x:c r="C112" s="50" t="str">
        <x:v>DISTRIGAS OF MASSACHUSETTS LLC - Everett, MA</x:v>
      </x:c>
      <x:c r="D112" s="50" t="n">
        <x:v>1003769</x:v>
      </x:c>
      <x:c r="E112" s="50" t="str">
        <x:v>Constellation Energy Corp</x:v>
      </x:c>
      <x:c r="F112" s="50" t="str">
        <x:v>Petroleum and Natural Gas Systems</x:v>
      </x:c>
      <x:c r="G112" s="48" t="str">
        <x:v>Everett</x:v>
      </x:c>
      <x:c r="H112" s="48" t="str">
        <x:v>MA</x:v>
      </x:c>
      <x:c r="I112" s="48" t="str">
        <x:v>02149</x:v>
      </x:c>
      <x:c r="J112" s="52" t="n">
        <x:v>11381.86</x:v>
      </x:c>
      <x:c r="K112" s="48" t="str">
        <x:v>No</x:v>
      </x:c>
      <x:c r="L112" s="50" t="str"/>
      <x:c r="M112" s="50" t="str">
        <x:v>https://www.epa.gov/ghgreporting/data-sets</x:v>
      </x:c>
      <x:c r="N112" s="53" t="n">
        <x:v>46233</x:v>
      </x:c>
    </x:row>
    <x:row r="113">
      <x:c r="A113" s="48" t="str">
        <x:v>RAW-109</x:v>
      </x:c>
      <x:c r="B113" s="48" t="str">
        <x:v>GHGRP-1001338</x:v>
      </x:c>
      <x:c r="C113" s="50" t="str">
        <x:v>Lake Road Generating Company - Dayville, CT</x:v>
      </x:c>
      <x:c r="D113" s="50" t="n">
        <x:v>1001338</x:v>
      </x:c>
      <x:c r="E113" s="50" t="str">
        <x:v>Vistra Corp</x:v>
      </x:c>
      <x:c r="F113" s="50" t="str">
        <x:v>Power Plants</x:v>
      </x:c>
      <x:c r="G113" s="48" t="str">
        <x:v>Dayville</x:v>
      </x:c>
      <x:c r="H113" s="48" t="str">
        <x:v>CT</x:v>
      </x:c>
      <x:c r="I113" s="48" t="str">
        <x:v>06241</x:v>
      </x:c>
      <x:c r="J113" s="52" t="n">
        <x:v>2159025.448</x:v>
      </x:c>
      <x:c r="K113" s="48" t="str">
        <x:v>No</x:v>
      </x:c>
      <x:c r="L113" s="50" t="str"/>
      <x:c r="M113" s="50" t="str">
        <x:v>https://www.epa.gov/ghgreporting/data-sets</x:v>
      </x:c>
      <x:c r="N113" s="53" t="n">
        <x:v>46233</x:v>
      </x:c>
    </x:row>
    <x:row r="114">
      <x:c r="A114" s="48" t="str">
        <x:v>RAW-110</x:v>
      </x:c>
      <x:c r="B114" s="48" t="str">
        <x:v>GHGRP-1013223</x:v>
      </x:c>
      <x:c r="C114" s="50" t="str">
        <x:v>CPV Towantic Energy Center - Oxford, CT</x:v>
      </x:c>
      <x:c r="D114" s="50" t="n">
        <x:v>1013223</x:v>
      </x:c>
      <x:c r="E114" s="50" t="str">
        <x:v>OSAKA GAS USA CORP</x:v>
      </x:c>
      <x:c r="F114" s="50" t="str">
        <x:v>Power Plants</x:v>
      </x:c>
      <x:c r="G114" s="48" t="str">
        <x:v>Oxford</x:v>
      </x:c>
      <x:c r="H114" s="48" t="str">
        <x:v>CT</x:v>
      </x:c>
      <x:c r="I114" s="48" t="str">
        <x:v>06478</x:v>
      </x:c>
      <x:c r="J114" s="52" t="n">
        <x:v>1938201.386</x:v>
      </x:c>
      <x:c r="K114" s="48" t="str">
        <x:v>No</x:v>
      </x:c>
      <x:c r="L114" s="50" t="str"/>
      <x:c r="M114" s="50" t="str">
        <x:v>https://www.epa.gov/ghgreporting/data-sets</x:v>
      </x:c>
      <x:c r="N114" s="53" t="n">
        <x:v>46233</x:v>
      </x:c>
    </x:row>
    <x:row r="115">
      <x:c r="A115" s="48" t="str">
        <x:v>RAW-111</x:v>
      </x:c>
      <x:c r="B115" s="48" t="str">
        <x:v>GHGRP-1007307</x:v>
      </x:c>
      <x:c r="C115" s="50" t="str">
        <x:v>Milford Power Company LLC - Milford, CT</x:v>
      </x:c>
      <x:c r="D115" s="50" t="n">
        <x:v>1007307</x:v>
      </x:c>
      <x:c r="E115" s="50" t="str">
        <x:v>Vistra Corp</x:v>
      </x:c>
      <x:c r="F115" s="50" t="str">
        <x:v>Power Plants</x:v>
      </x:c>
      <x:c r="G115" s="48" t="str">
        <x:v>Milford</x:v>
      </x:c>
      <x:c r="H115" s="48" t="str">
        <x:v>CT</x:v>
      </x:c>
      <x:c r="I115" s="48" t="str">
        <x:v>06460</x:v>
      </x:c>
      <x:c r="J115" s="52" t="n">
        <x:v>1425972.916</x:v>
      </x:c>
      <x:c r="K115" s="48" t="str">
        <x:v>No</x:v>
      </x:c>
      <x:c r="L115" s="50" t="str"/>
      <x:c r="M115" s="50" t="str">
        <x:v>https://www.epa.gov/ghgreporting/data-sets</x:v>
      </x:c>
      <x:c r="N115" s="53" t="n">
        <x:v>46233</x:v>
      </x:c>
    </x:row>
    <x:row r="116">
      <x:c r="A116" s="48" t="str">
        <x:v>RAW-112</x:v>
      </x:c>
      <x:c r="B116" s="48" t="str">
        <x:v>GHGRP-1001315</x:v>
      </x:c>
      <x:c r="C116" s="50" t="str">
        <x:v>Rhode Island State Energy Center - Johnston, RI</x:v>
      </x:c>
      <x:c r="D116" s="50" t="n">
        <x:v>1001315</x:v>
      </x:c>
      <x:c r="E116" s="50" t="str">
        <x:v>RHODE ISLAND STATE ENERGY CENTER LP</x:v>
      </x:c>
      <x:c r="F116" s="50" t="str">
        <x:v>Power Plants</x:v>
      </x:c>
      <x:c r="G116" s="48" t="str">
        <x:v>Johnston</x:v>
      </x:c>
      <x:c r="H116" s="48" t="str">
        <x:v>RI</x:v>
      </x:c>
      <x:c r="I116" s="48" t="str">
        <x:v>02919</x:v>
      </x:c>
      <x:c r="J116" s="52" t="n">
        <x:v>1361847.604</x:v>
      </x:c>
      <x:c r="K116" s="48" t="str">
        <x:v>No</x:v>
      </x:c>
      <x:c r="L116" s="50" t="str"/>
      <x:c r="M116" s="50" t="str">
        <x:v>https://www.epa.gov/ghgreporting/data-sets</x:v>
      </x:c>
      <x:c r="N116" s="53" t="n">
        <x:v>46233</x:v>
      </x:c>
    </x:row>
    <x:row r="117">
      <x:c r="A117" s="48" t="str">
        <x:v>RAW-113</x:v>
      </x:c>
      <x:c r="B117" s="48" t="str">
        <x:v>GHGRP-1001345</x:v>
      </x:c>
      <x:c r="C117" s="50" t="str">
        <x:v>Granite Ridge Energy - Londonderry, NH</x:v>
      </x:c>
      <x:c r="D117" s="50" t="n">
        <x:v>1001345</x:v>
      </x:c>
      <x:c r="E117" s="50" t="str">
        <x:v>CPN MANAGEMENT LP</x:v>
      </x:c>
      <x:c r="F117" s="50" t="str">
        <x:v>Power Plants</x:v>
      </x:c>
      <x:c r="G117" s="48" t="str">
        <x:v>Londonderry</x:v>
      </x:c>
      <x:c r="H117" s="48" t="str">
        <x:v>NH</x:v>
      </x:c>
      <x:c r="I117" s="48" t="str">
        <x:v>03053</x:v>
      </x:c>
      <x:c r="J117" s="52" t="n">
        <x:v>1299587.984</x:v>
      </x:c>
      <x:c r="K117" s="48" t="str">
        <x:v>No</x:v>
      </x:c>
      <x:c r="L117" s="50" t="str"/>
      <x:c r="M117" s="50" t="str">
        <x:v>https://www.epa.gov/ghgreporting/data-sets</x:v>
      </x:c>
      <x:c r="N117" s="53" t="n">
        <x:v>46233</x:v>
      </x:c>
    </x:row>
    <x:row r="118">
      <x:c r="A118" s="48" t="str">
        <x:v>RAW-114</x:v>
      </x:c>
      <x:c r="B118" s="48" t="str">
        <x:v>GHGRP-1006949</x:v>
      </x:c>
      <x:c r="C118" s="50" t="str">
        <x:v>Bridgeport Harbor Station - Bridgeport, CT</x:v>
      </x:c>
      <x:c r="D118" s="50" t="n">
        <x:v>1006949</x:v>
      </x:c>
      <x:c r="E118" s="50" t="str">
        <x:v>ARCLIGHT ENERGY PARTNERS FUND VII LP</x:v>
      </x:c>
      <x:c r="F118" s="50" t="str">
        <x:v>Power Plants</x:v>
      </x:c>
      <x:c r="G118" s="48" t="str">
        <x:v>Bridgeport</x:v>
      </x:c>
      <x:c r="H118" s="48" t="str">
        <x:v>CT</x:v>
      </x:c>
      <x:c r="I118" s="48" t="str">
        <x:v>06604</x:v>
      </x:c>
      <x:c r="J118" s="52" t="n">
        <x:v>1067502.25</x:v>
      </x:c>
      <x:c r="K118" s="48" t="str">
        <x:v>No</x:v>
      </x:c>
      <x:c r="L118" s="50" t="str"/>
      <x:c r="M118" s="50" t="str">
        <x:v>https://www.epa.gov/ghgreporting/data-sets</x:v>
      </x:c>
      <x:c r="N118" s="53" t="n">
        <x:v>46233</x:v>
      </x:c>
    </x:row>
    <x:row r="119">
      <x:c r="A119" s="48" t="str">
        <x:v>RAW-115</x:v>
      </x:c>
      <x:c r="B119" s="48" t="str">
        <x:v>GHGRP-1002802</x:v>
      </x:c>
      <x:c r="C119" s="50" t="str">
        <x:v>KLEEN ENERGY SYSTEMS POWER PLANT - Middletown, CT</x:v>
      </x:c>
      <x:c r="D119" s="50" t="n">
        <x:v>1002802</x:v>
      </x:c>
      <x:c r="E119" s="50" t="str">
        <x:v>KLEEN ENERGY SYSTEMS LLC</x:v>
      </x:c>
      <x:c r="F119" s="50" t="str">
        <x:v>Power Plants</x:v>
      </x:c>
      <x:c r="G119" s="48" t="str">
        <x:v>Middletown</x:v>
      </x:c>
      <x:c r="H119" s="48" t="str">
        <x:v>CT</x:v>
      </x:c>
      <x:c r="I119" s="48" t="str">
        <x:v>06457</x:v>
      </x:c>
      <x:c r="J119" s="52" t="n">
        <x:v>1014344.376</x:v>
      </x:c>
      <x:c r="K119" s="48" t="str">
        <x:v>No</x:v>
      </x:c>
      <x:c r="L119" s="50" t="str"/>
      <x:c r="M119" s="50" t="str">
        <x:v>https://www.epa.gov/ghgreporting/data-sets</x:v>
      </x:c>
      <x:c r="N119" s="53" t="n">
        <x:v>46233</x:v>
      </x:c>
    </x:row>
    <x:row r="120">
      <x:c r="A120" s="48" t="str">
        <x:v>RAW-116</x:v>
      </x:c>
      <x:c r="B120" s="48" t="str">
        <x:v>GHGRP-1001299</x:v>
      </x:c>
      <x:c r="C120" s="50" t="str">
        <x:v>Bridgeport Energy - Bridgeport, CT</x:v>
      </x:c>
      <x:c r="D120" s="50" t="n">
        <x:v>1001299</x:v>
      </x:c>
      <x:c r="E120" s="50" t="str">
        <x:v>BRIDGEPORT ENERGY LLC</x:v>
      </x:c>
      <x:c r="F120" s="50" t="str">
        <x:v>Power Plants</x:v>
      </x:c>
      <x:c r="G120" s="48" t="str">
        <x:v>Bridgeport</x:v>
      </x:c>
      <x:c r="H120" s="48" t="str">
        <x:v>CT</x:v>
      </x:c>
      <x:c r="I120" s="48" t="str">
        <x:v>06604</x:v>
      </x:c>
      <x:c r="J120" s="52" t="n">
        <x:v>1012876.096</x:v>
      </x:c>
      <x:c r="K120" s="48" t="str">
        <x:v>No</x:v>
      </x:c>
      <x:c r="L120" s="50" t="str"/>
      <x:c r="M120" s="50" t="str">
        <x:v>https://www.epa.gov/ghgreporting/data-sets</x:v>
      </x:c>
      <x:c r="N120" s="53" t="n">
        <x:v>46233</x:v>
      </x:c>
    </x:row>
    <x:row r="121">
      <x:c r="A121" s="48" t="str">
        <x:v>RAW-117</x:v>
      </x:c>
      <x:c r="B121" s="48" t="str">
        <x:v>GHGRP-1000905</x:v>
      </x:c>
      <x:c r="C121" s="50" t="str">
        <x:v>Manchester Street - Providence, RI</x:v>
      </x:c>
      <x:c r="D121" s="50" t="n">
        <x:v>1000905</x:v>
      </x:c>
      <x:c r="E121" s="50" t="str">
        <x:v>EDGEWATER GENERATION HOLDINGS LLC</x:v>
      </x:c>
      <x:c r="F121" s="50" t="str">
        <x:v>Power Plants</x:v>
      </x:c>
      <x:c r="G121" s="48" t="str">
        <x:v>Providence</x:v>
      </x:c>
      <x:c r="H121" s="48" t="str">
        <x:v>RI</x:v>
      </x:c>
      <x:c r="I121" s="48" t="str">
        <x:v>02903</x:v>
      </x:c>
      <x:c r="J121" s="52" t="n">
        <x:v>815757.847</x:v>
      </x:c>
      <x:c r="K121" s="48" t="str">
        <x:v>No</x:v>
      </x:c>
      <x:c r="L121" s="50" t="str"/>
      <x:c r="M121" s="50" t="str">
        <x:v>https://www.epa.gov/ghgreporting/data-sets</x:v>
      </x:c>
      <x:c r="N121" s="53" t="n">
        <x:v>46233</x:v>
      </x:c>
    </x:row>
    <x:row r="122">
      <x:c r="A122" s="48" t="str">
        <x:v>RAW-118</x:v>
      </x:c>
      <x:c r="B122" s="48" t="str">
        <x:v>GHGRP-1001301</x:v>
      </x:c>
      <x:c r="C122" s="50" t="str">
        <x:v>Tiverton Power - Tiverton, RI</x:v>
      </x:c>
      <x:c r="D122" s="50" t="n">
        <x:v>1001301</x:v>
      </x:c>
      <x:c r="E122" s="50" t="str">
        <x:v>CARLYLE GROUP MANAGEMENT LLC</x:v>
      </x:c>
      <x:c r="F122" s="50" t="str">
        <x:v>Power Plants</x:v>
      </x:c>
      <x:c r="G122" s="48" t="str">
        <x:v>Tiverton</x:v>
      </x:c>
      <x:c r="H122" s="48" t="str">
        <x:v>RI</x:v>
      </x:c>
      <x:c r="I122" s="48" t="str">
        <x:v>02878</x:v>
      </x:c>
      <x:c r="J122" s="52" t="n">
        <x:v>630573.564</x:v>
      </x:c>
      <x:c r="K122" s="48" t="str">
        <x:v>No</x:v>
      </x:c>
      <x:c r="L122" s="50" t="str"/>
      <x:c r="M122" s="50" t="str">
        <x:v>https://www.epa.gov/ghgreporting/data-sets</x:v>
      </x:c>
      <x:c r="N122" s="53" t="n">
        <x:v>46233</x:v>
      </x:c>
    </x:row>
    <x:row r="123">
      <x:c r="A123" s="48" t="str">
        <x:v>RAW-119</x:v>
      </x:c>
      <x:c r="B123" s="48" t="str">
        <x:v>GHGRP-1001258</x:v>
      </x:c>
      <x:c r="C123" s="50" t="str">
        <x:v>Ocean State Power - Harrisville, RI</x:v>
      </x:c>
      <x:c r="D123" s="50" t="n">
        <x:v>1001258</x:v>
      </x:c>
      <x:c r="E123" s="50" t="str">
        <x:v>LS Power Development, LLC</x:v>
      </x:c>
      <x:c r="F123" s="50" t="str">
        <x:v>Power Plants</x:v>
      </x:c>
      <x:c r="G123" s="48" t="str">
        <x:v>Harrisville</x:v>
      </x:c>
      <x:c r="H123" s="48" t="str">
        <x:v>RI</x:v>
      </x:c>
      <x:c r="I123" s="48" t="str">
        <x:v>02830</x:v>
      </x:c>
      <x:c r="J123" s="52" t="n">
        <x:v>583169.013</x:v>
      </x:c>
      <x:c r="K123" s="48" t="str">
        <x:v>No</x:v>
      </x:c>
      <x:c r="L123" s="50" t="str"/>
      <x:c r="M123" s="50" t="str">
        <x:v>https://www.epa.gov/ghgreporting/data-sets</x:v>
      </x:c>
      <x:c r="N123" s="53" t="n">
        <x:v>46233</x:v>
      </x:c>
    </x:row>
    <x:row r="124">
      <x:c r="A124" s="48" t="str">
        <x:v>RAW-120</x:v>
      </x:c>
      <x:c r="B124" s="48" t="str">
        <x:v>GHGRP-1007646</x:v>
      </x:c>
      <x:c r="C124" s="50" t="str">
        <x:v>CROSSROADS LANDFILL - Norridgewock, ME</x:v>
      </x:c>
      <x:c r="D124" s="50" t="n">
        <x:v>1007646</x:v>
      </x:c>
      <x:c r="E124" s="50" t="str">
        <x:v>WASTE MANAGEMENT INC</x:v>
      </x:c>
      <x:c r="F124" s="50" t="str">
        <x:v>Waste</x:v>
      </x:c>
      <x:c r="G124" s="48" t="str">
        <x:v>Norridgewock</x:v>
      </x:c>
      <x:c r="H124" s="48" t="str">
        <x:v>ME</x:v>
      </x:c>
      <x:c r="I124" s="48" t="str">
        <x:v>04957</x:v>
      </x:c>
      <x:c r="J124" s="52" t="n">
        <x:v>34847.568</x:v>
      </x:c>
      <x:c r="K124" s="48" t="str">
        <x:v>No</x:v>
      </x:c>
      <x:c r="L124" s="50" t="str"/>
      <x:c r="M124" s="50" t="str">
        <x:v>https://www.epa.gov/ghgreporting/data-sets</x:v>
      </x:c>
      <x:c r="N124" s="53" t="n">
        <x:v>46233</x:v>
      </x:c>
    </x:row>
    <x:row r="125">
      <x:c r="A125" s="48" t="str">
        <x:v>RAW-121</x:v>
      </x:c>
      <x:c r="B125" s="48" t="str">
        <x:v>GHGRP-1000047</x:v>
      </x:c>
      <x:c r="C125" s="50" t="str">
        <x:v>PENOBSCOT ENERGY RECOVERY CO. - Orrington, ME</x:v>
      </x:c>
      <x:c r="D125" s="50" t="n">
        <x:v>1000047</x:v>
      </x:c>
      <x:c r="E125" s="50" t="str">
        <x:v>USA ENERGY GROUP LLC</x:v>
      </x:c>
      <x:c r="F125" s="50" t="str">
        <x:v>Waste</x:v>
      </x:c>
      <x:c r="G125" s="48" t="str">
        <x:v>Orrington</x:v>
      </x:c>
      <x:c r="H125" s="48" t="str">
        <x:v>ME</x:v>
      </x:c>
      <x:c r="I125" s="48" t="str">
        <x:v>04474</x:v>
      </x:c>
      <x:c r="J125" s="52" t="n">
        <x:v>7392.966</x:v>
      </x:c>
      <x:c r="K125" s="48" t="str">
        <x:v>No</x:v>
      </x:c>
      <x:c r="L125" s="50" t="str"/>
      <x:c r="M125" s="50" t="str">
        <x:v>https://www.epa.gov/ghgreporting/data-sets</x:v>
      </x:c>
      <x:c r="N125" s="53" t="n">
        <x:v>46233</x:v>
      </x:c>
    </x:row>
    <x:row r="126">
      <x:c r="A126" s="48" t="str">
        <x:v>RAW-122</x:v>
      </x:c>
      <x:c r="B126" s="48" t="str">
        <x:v>GHGRP-1007435</x:v>
      </x:c>
      <x:c r="C126" s="50" t="str">
        <x:v>MASSPOWER - Indian Orchard, MA</x:v>
      </x:c>
      <x:c r="D126" s="50" t="n">
        <x:v>1007435</x:v>
      </x:c>
      <x:c r="E126" s="50" t="str">
        <x:v>Vistra Corp</x:v>
      </x:c>
      <x:c r="F126" s="50" t="str">
        <x:v>Power Plants</x:v>
      </x:c>
      <x:c r="G126" s="48" t="str">
        <x:v>Indian Orchard</x:v>
      </x:c>
      <x:c r="H126" s="48" t="str">
        <x:v>MA</x:v>
      </x:c>
      <x:c r="I126" s="48" t="str">
        <x:v>01151</x:v>
      </x:c>
      <x:c r="J126" s="52" t="n">
        <x:v>283431.9</x:v>
      </x:c>
      <x:c r="K126" s="48" t="str">
        <x:v>No</x:v>
      </x:c>
      <x:c r="L126" s="50" t="str"/>
      <x:c r="M126" s="50" t="str">
        <x:v>https://www.epa.gov/ghgreporting/data-sets</x:v>
      </x:c>
      <x:c r="N126" s="53" t="n">
        <x:v>46233</x:v>
      </x:c>
    </x:row>
    <x:row r="127">
      <x:c r="A127" s="48" t="str">
        <x:v>RAW-123</x:v>
      </x:c>
      <x:c r="B127" s="48" t="str">
        <x:v>GHGRP-1012869</x:v>
      </x:c>
      <x:c r="C127" s="50" t="str">
        <x:v>Salem Harbor Station NGCC - Salem, MA</x:v>
      </x:c>
      <x:c r="D127" s="50" t="n">
        <x:v>1012869</x:v>
      </x:c>
      <x:c r="E127" s="50" t="str">
        <x:v>Salem Harbor Power Development LP</x:v>
      </x:c>
      <x:c r="F127" s="50" t="str">
        <x:v>Power Plants</x:v>
      </x:c>
      <x:c r="G127" s="48" t="str">
        <x:v>Salem</x:v>
      </x:c>
      <x:c r="H127" s="48" t="str">
        <x:v>MA</x:v>
      </x:c>
      <x:c r="I127" s="48" t="str">
        <x:v>01970</x:v>
      </x:c>
      <x:c r="J127" s="52" t="n">
        <x:v>278894.216</x:v>
      </x:c>
      <x:c r="K127" s="48" t="str">
        <x:v>No</x:v>
      </x:c>
      <x:c r="L127" s="50" t="str"/>
      <x:c r="M127" s="50" t="str">
        <x:v>https://www.epa.gov/ghgreporting/data-sets</x:v>
      </x:c>
      <x:c r="N127" s="53" t="n">
        <x:v>46233</x:v>
      </x:c>
    </x:row>
    <x:row r="128">
      <x:c r="A128" s="48" t="str">
        <x:v>RAW-124</x:v>
      </x:c>
      <x:c r="B128" s="48" t="str">
        <x:v>GHGRP-1000580</x:v>
      </x:c>
      <x:c r="C128" s="50" t="str">
        <x:v>MEDICAL AREA TOTAL ENERGY PLANT - Boston, MA</x:v>
      </x:c>
      <x:c r="D128" s="50" t="n">
        <x:v>1000580</x:v>
      </x:c>
      <x:c r="E128" s="50" t="str">
        <x:v>LONGWOOD ENERGY PARTNERS LLC</x:v>
      </x:c>
      <x:c r="F128" s="50" t="str">
        <x:v>Power Plants</x:v>
      </x:c>
      <x:c r="G128" s="48" t="str">
        <x:v>Boston</x:v>
      </x:c>
      <x:c r="H128" s="48" t="str">
        <x:v>MA</x:v>
      </x:c>
      <x:c r="I128" s="48" t="str">
        <x:v>02215</x:v>
      </x:c>
      <x:c r="J128" s="52" t="n">
        <x:v>263147.694</x:v>
      </x:c>
      <x:c r="K128" s="48" t="str">
        <x:v>No</x:v>
      </x:c>
      <x:c r="L128" s="50" t="str"/>
      <x:c r="M128" s="50" t="str">
        <x:v>https://www.epa.gov/ghgreporting/data-sets</x:v>
      </x:c>
      <x:c r="N128" s="53" t="n">
        <x:v>46233</x:v>
      </x:c>
    </x:row>
    <x:row r="129">
      <x:c r="A129" s="48" t="str">
        <x:v>RAW-125</x:v>
      </x:c>
      <x:c r="B129" s="48" t="str">
        <x:v>GHGRP-1001404</x:v>
      </x:c>
      <x:c r="C129" s="50" t="str">
        <x:v>Westbrook Energy Center - Westbrook, ME</x:v>
      </x:c>
      <x:c r="D129" s="50" t="n">
        <x:v>1001404</x:v>
      </x:c>
      <x:c r="E129" s="50" t="str">
        <x:v>CPN MANAGEMENT LP</x:v>
      </x:c>
      <x:c r="F129" s="50" t="str">
        <x:v>Power Plants</x:v>
      </x:c>
      <x:c r="G129" s="48" t="str">
        <x:v>Westbrook</x:v>
      </x:c>
      <x:c r="H129" s="48" t="str">
        <x:v>ME</x:v>
      </x:c>
      <x:c r="I129" s="48" t="str">
        <x:v>04092</x:v>
      </x:c>
      <x:c r="J129" s="52" t="n">
        <x:v>871059.172</x:v>
      </x:c>
      <x:c r="K129" s="48" t="str">
        <x:v>No</x:v>
      </x:c>
      <x:c r="L129" s="50" t="str"/>
      <x:c r="M129" s="50" t="str">
        <x:v>https://www.epa.gov/ghgreporting/data-sets</x:v>
      </x:c>
      <x:c r="N129" s="53" t="n">
        <x:v>46233</x:v>
      </x:c>
    </x:row>
    <x:row r="130">
      <x:c r="A130" s="48" t="str">
        <x:v>RAW-126</x:v>
      </x:c>
      <x:c r="B130" s="48" t="str">
        <x:v>GHGRP-1001271</x:v>
      </x:c>
      <x:c r="C130" s="50" t="str">
        <x:v>Ocean State Power II - Harrisville, RI</x:v>
      </x:c>
      <x:c r="D130" s="50" t="n">
        <x:v>1001271</x:v>
      </x:c>
      <x:c r="E130" s="50" t="str">
        <x:v>LS Power Development, LLC</x:v>
      </x:c>
      <x:c r="F130" s="50" t="str">
        <x:v>Power Plants</x:v>
      </x:c>
      <x:c r="G130" s="48" t="str">
        <x:v>Harrisville</x:v>
      </x:c>
      <x:c r="H130" s="48" t="str">
        <x:v>RI</x:v>
      </x:c>
      <x:c r="I130" s="48" t="str">
        <x:v>02830</x:v>
      </x:c>
      <x:c r="J130" s="52" t="n">
        <x:v>489533.55</x:v>
      </x:c>
      <x:c r="K130" s="48" t="str">
        <x:v>No</x:v>
      </x:c>
      <x:c r="L130" s="50" t="str"/>
      <x:c r="M130" s="50" t="str">
        <x:v>https://www.epa.gov/ghgreporting/data-sets</x:v>
      </x:c>
      <x:c r="N130" s="53" t="n">
        <x:v>46233</x:v>
      </x:c>
    </x:row>
    <x:row r="131">
      <x:c r="A131" s="48" t="str">
        <x:v>RAW-127</x:v>
      </x:c>
      <x:c r="B131" s="48" t="str">
        <x:v>GHGRP-1000170</x:v>
      </x:c>
      <x:c r="C131" s="50" t="str">
        <x:v>Newington Energy - Newington, NH</x:v>
      </x:c>
      <x:c r="D131" s="50" t="n">
        <x:v>1000170</x:v>
      </x:c>
      <x:c r="E131" s="50" t="str">
        <x:v>ESSENTIAL POWER LLC</x:v>
      </x:c>
      <x:c r="F131" s="50" t="str">
        <x:v>Power Plants</x:v>
      </x:c>
      <x:c r="G131" s="48" t="str">
        <x:v>Newington</x:v>
      </x:c>
      <x:c r="H131" s="48" t="str">
        <x:v>NH</x:v>
      </x:c>
      <x:c r="I131" s="48" t="str">
        <x:v>03801</x:v>
      </x:c>
      <x:c r="J131" s="52" t="n">
        <x:v>342951.424</x:v>
      </x:c>
      <x:c r="K131" s="48" t="str">
        <x:v>No</x:v>
      </x:c>
      <x:c r="L131" s="50" t="str"/>
      <x:c r="M131" s="50" t="str">
        <x:v>https://www.epa.gov/ghgreporting/data-sets</x:v>
      </x:c>
      <x:c r="N131" s="53" t="n">
        <x:v>46233</x:v>
      </x:c>
    </x:row>
    <x:row r="132">
      <x:c r="A132" s="48" t="str">
        <x:v>RAW-128</x:v>
      </x:c>
      <x:c r="B132" s="48" t="str">
        <x:v>GHGRP-1001307</x:v>
      </x:c>
      <x:c r="C132" s="50" t="str">
        <x:v>Millennium Power - Charlton, MA</x:v>
      </x:c>
      <x:c r="D132" s="50" t="n">
        <x:v>1001307</x:v>
      </x:c>
      <x:c r="E132" s="50" t="str">
        <x:v>MILLENNIUM POWER CO LLC</x:v>
      </x:c>
      <x:c r="F132" s="50" t="str">
        <x:v>Power Plants</x:v>
      </x:c>
      <x:c r="G132" s="48" t="str">
        <x:v>Charlton</x:v>
      </x:c>
      <x:c r="H132" s="48" t="str">
        <x:v>MA</x:v>
      </x:c>
      <x:c r="I132" s="48" t="str">
        <x:v>01507</x:v>
      </x:c>
      <x:c r="J132" s="52" t="n">
        <x:v>243807.696</x:v>
      </x:c>
      <x:c r="K132" s="48" t="str">
        <x:v>No</x:v>
      </x:c>
      <x:c r="L132" s="50" t="str"/>
      <x:c r="M132" s="50" t="str">
        <x:v>https://www.epa.gov/ghgreporting/data-sets</x:v>
      </x:c>
      <x:c r="N132" s="53" t="n">
        <x:v>46233</x:v>
      </x:c>
    </x:row>
    <x:row r="133">
      <x:c r="A133" s="48" t="str">
        <x:v>RAW-129</x:v>
      </x:c>
      <x:c r="B133" s="48" t="str">
        <x:v>GHGRP-1001294</x:v>
      </x:c>
      <x:c r="C133" s="50" t="str">
        <x:v>Dighton - Dighton, MA</x:v>
      </x:c>
      <x:c r="D133" s="50" t="n">
        <x:v>1001294</x:v>
      </x:c>
      <x:c r="E133" s="50" t="str">
        <x:v>Lotus Infrastructure Partners</x:v>
      </x:c>
      <x:c r="F133" s="50" t="str">
        <x:v>Power Plants</x:v>
      </x:c>
      <x:c r="G133" s="48" t="str">
        <x:v>Dighton</x:v>
      </x:c>
      <x:c r="H133" s="48" t="str">
        <x:v>MA</x:v>
      </x:c>
      <x:c r="I133" s="48" t="str">
        <x:v>02715</x:v>
      </x:c>
      <x:c r="J133" s="52" t="n">
        <x:v>151448.888</x:v>
      </x:c>
      <x:c r="K133" s="48" t="str">
        <x:v>No</x:v>
      </x:c>
      <x:c r="L133" s="50" t="str"/>
      <x:c r="M133" s="50" t="str">
        <x:v>https://www.epa.gov/ghgreporting/data-sets</x:v>
      </x:c>
      <x:c r="N133" s="53" t="n">
        <x:v>46233</x:v>
      </x:c>
    </x:row>
    <x:row r="134">
      <x:c r="A134" s="48" t="str">
        <x:v>RAW-130</x:v>
      </x:c>
      <x:c r="B134" s="48" t="str">
        <x:v>GHGRP-1014566</x:v>
      </x:c>
      <x:c r="C134" s="50" t="str">
        <x:v>Westbrook - Westbrook, ME</x:v>
      </x:c>
      <x:c r="D134" s="50" t="n">
        <x:v>1014566</x:v>
      </x:c>
      <x:c r="E134" s="50" t="str">
        <x:v>Enbridge (US) Inc</x:v>
      </x:c>
      <x:c r="F134" s="50" t="str">
        <x:v>Petroleum and Natural Gas Systems</x:v>
      </x:c>
      <x:c r="G134" s="48" t="str">
        <x:v>Westbrook</x:v>
      </x:c>
      <x:c r="H134" s="48" t="str">
        <x:v>ME</x:v>
      </x:c>
      <x:c r="I134" s="48" t="str">
        <x:v>04092</x:v>
      </x:c>
      <x:c r="J134" s="52" t="n">
        <x:v>43382.048</x:v>
      </x:c>
      <x:c r="K134" s="48" t="str">
        <x:v>No</x:v>
      </x:c>
      <x:c r="L134" s="50" t="str"/>
      <x:c r="M134" s="50" t="str">
        <x:v>https://www.epa.gov/ghgreporting/data-sets</x:v>
      </x:c>
      <x:c r="N134" s="53" t="n">
        <x:v>46233</x:v>
      </x:c>
    </x:row>
    <x:row r="135">
      <x:c r="A135" s="48" t="str">
        <x:v>RAW-131</x:v>
      </x:c>
      <x:c r="B135" s="48" t="str">
        <x:v>GHGRP-1008371</x:v>
      </x:c>
      <x:c r="C135" s="50" t="str">
        <x:v>Richmond Station - Richmond, ME</x:v>
      </x:c>
      <x:c r="D135" s="50" t="n">
        <x:v>1008371</x:v>
      </x:c>
      <x:c r="E135" s="50" t="str">
        <x:v>Enbridge (US) Inc</x:v>
      </x:c>
      <x:c r="F135" s="50" t="str">
        <x:v>Petroleum and Natural Gas Systems</x:v>
      </x:c>
      <x:c r="G135" s="48" t="str">
        <x:v>Richmond</x:v>
      </x:c>
      <x:c r="H135" s="48" t="str">
        <x:v>ME</x:v>
      </x:c>
      <x:c r="I135" s="48" t="str">
        <x:v>04357</x:v>
      </x:c>
      <x:c r="J135" s="52" t="n">
        <x:v>25875.006</x:v>
      </x:c>
      <x:c r="K135" s="48" t="str">
        <x:v>No</x:v>
      </x:c>
      <x:c r="L135" s="50" t="str"/>
      <x:c r="M135" s="50" t="str">
        <x:v>https://www.epa.gov/ghgreporting/data-sets</x:v>
      </x:c>
      <x:c r="N135" s="53" t="n">
        <x:v>46233</x:v>
      </x:c>
    </x:row>
    <x:row r="136">
      <x:c r="A136" s="48" t="str">
        <x:v>RAW-132</x:v>
      </x:c>
      <x:c r="B136" s="48" t="str">
        <x:v>GHGRP-1007422</x:v>
      </x:c>
      <x:c r="C136" s="50" t="str">
        <x:v>Maine Independence Station - Veazie, ME</x:v>
      </x:c>
      <x:c r="D136" s="50" t="n">
        <x:v>1007422</x:v>
      </x:c>
      <x:c r="E136" s="50" t="str">
        <x:v>Vistra Corp</x:v>
      </x:c>
      <x:c r="F136" s="50" t="str">
        <x:v>Power Plants</x:v>
      </x:c>
      <x:c r="G136" s="48" t="str">
        <x:v>Veazie</x:v>
      </x:c>
      <x:c r="H136" s="48" t="str">
        <x:v>ME</x:v>
      </x:c>
      <x:c r="I136" s="48" t="str">
        <x:v>04401</x:v>
      </x:c>
      <x:c r="J136" s="52" t="n">
        <x:v>380420.64</x:v>
      </x:c>
      <x:c r="K136" s="48" t="str">
        <x:v>No</x:v>
      </x:c>
      <x:c r="L136" s="50" t="str"/>
      <x:c r="M136" s="50" t="str">
        <x:v>https://www.epa.gov/ghgreporting/data-sets</x:v>
      </x:c>
      <x:c r="N136" s="53" t="n">
        <x:v>46233</x:v>
      </x:c>
    </x:row>
    <x:row r="137">
      <x:c r="A137" s="48" t="str">
        <x:v>RAW-133</x:v>
      </x:c>
      <x:c r="B137" s="48" t="str">
        <x:v>GHGRP-1000729</x:v>
      </x:c>
      <x:c r="C137" s="50" t="str">
        <x:v>Merrimack - Bow, NH</x:v>
      </x:c>
      <x:c r="D137" s="50" t="n">
        <x:v>1000729</x:v>
      </x:c>
      <x:c r="E137" s="50" t="str">
        <x:v>GRANITE SHORE POWER LLC</x:v>
      </x:c>
      <x:c r="F137" s="50" t="str">
        <x:v>Power Plants</x:v>
      </x:c>
      <x:c r="G137" s="48" t="str">
        <x:v>Bow</x:v>
      </x:c>
      <x:c r="H137" s="48" t="str">
        <x:v>NH</x:v>
      </x:c>
      <x:c r="I137" s="48" t="str">
        <x:v>03304</x:v>
      </x:c>
      <x:c r="J137" s="52" t="n">
        <x:v>171786.46</x:v>
      </x:c>
      <x:c r="K137" s="48" t="str">
        <x:v>No</x:v>
      </x:c>
      <x:c r="L137" s="50" t="str"/>
      <x:c r="M137" s="50" t="str">
        <x:v>https://www.epa.gov/ghgreporting/data-sets</x:v>
      </x:c>
      <x:c r="N137" s="53" t="n">
        <x:v>46233</x:v>
      </x:c>
    </x:row>
    <x:row r="138">
      <x:c r="A138" s="48" t="str">
        <x:v>RAW-134</x:v>
      </x:c>
      <x:c r="B138" s="48" t="str">
        <x:v>GHGRP-1006408</x:v>
      </x:c>
      <x:c r="C138" s="50" t="str">
        <x:v>Middletown - Middletown, CT</x:v>
      </x:c>
      <x:c r="D138" s="50" t="n">
        <x:v>1006408</x:v>
      </x:c>
      <x:c r="E138" s="50" t="str">
        <x:v>ARCLIGHT ENERGY PARTNERS FUND VII LP</x:v>
      </x:c>
      <x:c r="F138" s="50" t="str">
        <x:v>Power Plants</x:v>
      </x:c>
      <x:c r="G138" s="48" t="str">
        <x:v>Middletown</x:v>
      </x:c>
      <x:c r="H138" s="48" t="str">
        <x:v>CT</x:v>
      </x:c>
      <x:c r="I138" s="48" t="str">
        <x:v>06457</x:v>
      </x:c>
      <x:c r="J138" s="52" t="n">
        <x:v>132892.286</x:v>
      </x:c>
      <x:c r="K138" s="48" t="str">
        <x:v>No</x:v>
      </x:c>
      <x:c r="L138" s="50" t="str"/>
      <x:c r="M138" s="50" t="str">
        <x:v>https://www.epa.gov/ghgreporting/data-sets</x:v>
      </x:c>
      <x:c r="N138" s="53" t="n">
        <x:v>46233</x:v>
      </x:c>
    </x:row>
    <x:row r="139">
      <x:c r="A139" s="48" t="str">
        <x:v>RAW-135</x:v>
      </x:c>
      <x:c r="B139" s="48" t="str">
        <x:v>GHGRP-1006775</x:v>
      </x:c>
      <x:c r="C139" s="50" t="str">
        <x:v>Milford Power, LLC - Milford, MA</x:v>
      </x:c>
      <x:c r="D139" s="50" t="n">
        <x:v>1006775</x:v>
      </x:c>
      <x:c r="E139" s="50" t="str">
        <x:v>JERA ENERGY AMERICA LLC</x:v>
      </x:c>
      <x:c r="F139" s="50" t="str">
        <x:v>Power Plants</x:v>
      </x:c>
      <x:c r="G139" s="48" t="str">
        <x:v>Milford</x:v>
      </x:c>
      <x:c r="H139" s="48" t="str">
        <x:v>MA</x:v>
      </x:c>
      <x:c r="I139" s="48" t="str">
        <x:v>01757</x:v>
      </x:c>
      <x:c r="J139" s="52" t="n">
        <x:v>97706.688</x:v>
      </x:c>
      <x:c r="K139" s="48" t="str">
        <x:v>No</x:v>
      </x:c>
      <x:c r="L139" s="50" t="str"/>
      <x:c r="M139" s="50" t="str">
        <x:v>https://www.epa.gov/ghgreporting/data-sets</x:v>
      </x:c>
      <x:c r="N139" s="53" t="n">
        <x:v>46233</x:v>
      </x:c>
    </x:row>
    <x:row r="140">
      <x:c r="A140" s="48" t="str">
        <x:v>RAW-136</x:v>
      </x:c>
      <x:c r="B140" s="48" t="str">
        <x:v>GHGRP-1000655</x:v>
      </x:c>
      <x:c r="C140" s="50" t="str">
        <x:v>Medway Station - Medway, MA</x:v>
      </x:c>
      <x:c r="D140" s="50" t="n">
        <x:v>1000655</x:v>
      </x:c>
      <x:c r="E140" s="50" t="str">
        <x:v>CONSTELLATION ENERGY CORP</x:v>
      </x:c>
      <x:c r="F140" s="50" t="str">
        <x:v>Power Plants</x:v>
      </x:c>
      <x:c r="G140" s="48" t="str">
        <x:v>Medway</x:v>
      </x:c>
      <x:c r="H140" s="48" t="str">
        <x:v>MA</x:v>
      </x:c>
      <x:c r="I140" s="48" t="str">
        <x:v>02053</x:v>
      </x:c>
      <x:c r="J140" s="52" t="n">
        <x:v>96770.414</x:v>
      </x:c>
      <x:c r="K140" s="48" t="str">
        <x:v>No</x:v>
      </x:c>
      <x:c r="L140" s="50" t="str"/>
      <x:c r="M140" s="50" t="str">
        <x:v>https://www.epa.gov/ghgreporting/data-sets</x:v>
      </x:c>
      <x:c r="N140" s="53" t="n">
        <x:v>46233</x:v>
      </x:c>
    </x:row>
    <x:row r="141">
      <x:c r="A141" s="48" t="str">
        <x:v>RAW-137</x:v>
      </x:c>
      <x:c r="B141" s="48" t="str">
        <x:v>GHGRP-1000092</x:v>
      </x:c>
      <x:c r="C141" s="50" t="str">
        <x:v>Kneeland Station - Boston, MA</x:v>
      </x:c>
      <x:c r="D141" s="50" t="n">
        <x:v>1000092</x:v>
      </x:c>
      <x:c r="E141" s="50" t="str">
        <x:v>VICINITY ENERGY INC</x:v>
      </x:c>
      <x:c r="F141" s="50" t="str">
        <x:v>Power Plants</x:v>
      </x:c>
      <x:c r="G141" s="48" t="str">
        <x:v>Boston</x:v>
      </x:c>
      <x:c r="H141" s="48" t="str">
        <x:v>MA</x:v>
      </x:c>
      <x:c r="I141" s="48" t="str">
        <x:v>02111</x:v>
      </x:c>
      <x:c r="J141" s="52" t="n">
        <x:v>69195.294</x:v>
      </x:c>
      <x:c r="K141" s="48" t="str">
        <x:v>No</x:v>
      </x:c>
      <x:c r="L141" s="50" t="str"/>
      <x:c r="M141" s="50" t="str">
        <x:v>https://www.epa.gov/ghgreporting/data-sets</x:v>
      </x:c>
      <x:c r="N141" s="53" t="n">
        <x:v>46233</x:v>
      </x:c>
    </x:row>
    <x:row r="142">
      <x:c r="A142" s="48" t="str">
        <x:v>RAW-138</x:v>
      </x:c>
      <x:c r="B142" s="48" t="str">
        <x:v>GHGRP-1000658</x:v>
      </x:c>
      <x:c r="C142" s="50" t="str">
        <x:v>Canal Station - Sandwich, MA</x:v>
      </x:c>
      <x:c r="D142" s="50" t="n">
        <x:v>1000658</x:v>
      </x:c>
      <x:c r="E142" s="50" t="str">
        <x:v>JERA AMERICAS HOLDINGS INC</x:v>
      </x:c>
      <x:c r="F142" s="50" t="str">
        <x:v>Power Plants</x:v>
      </x:c>
      <x:c r="G142" s="48" t="str">
        <x:v>Sandwich</x:v>
      </x:c>
      <x:c r="H142" s="48" t="str">
        <x:v>MA</x:v>
      </x:c>
      <x:c r="I142" s="48" t="str">
        <x:v>02563</x:v>
      </x:c>
      <x:c r="J142" s="52" t="n">
        <x:v>59860.608</x:v>
      </x:c>
      <x:c r="K142" s="48" t="str">
        <x:v>No</x:v>
      </x:c>
      <x:c r="L142" s="50" t="str"/>
      <x:c r="M142" s="50" t="str">
        <x:v>https://www.epa.gov/ghgreporting/data-sets</x:v>
      </x:c>
      <x:c r="N142" s="53" t="n">
        <x:v>46233</x:v>
      </x:c>
    </x:row>
    <x:row r="143">
      <x:c r="A143" s="48" t="str">
        <x:v>RAW-139</x:v>
      </x:c>
      <x:c r="B143" s="48" t="str">
        <x:v>GHGRP-1013945</x:v>
      </x:c>
      <x:c r="C143" s="50" t="str">
        <x:v>Bucksport Mill, LLC - Bucksport, ME</x:v>
      </x:c>
      <x:c r="D143" s="50" t="n">
        <x:v>1013945</x:v>
      </x:c>
      <x:c r="E143" s="50" t="str">
        <x:v>Bucksport Mill, LLC</x:v>
      </x:c>
      <x:c r="F143" s="50" t="str">
        <x:v>Power Plants,Waste</x:v>
      </x:c>
      <x:c r="G143" s="48" t="str">
        <x:v>Bucksport</x:v>
      </x:c>
      <x:c r="H143" s="48" t="str">
        <x:v>ME</x:v>
      </x:c>
      <x:c r="I143" s="48" t="str">
        <x:v>04416</x:v>
      </x:c>
      <x:c r="J143" s="52" t="n">
        <x:v>50526.625</x:v>
      </x:c>
      <x:c r="K143" s="48" t="str">
        <x:v>No</x:v>
      </x:c>
      <x:c r="L143" s="50" t="str"/>
      <x:c r="M143" s="50" t="str">
        <x:v>https://www.epa.gov/ghgreporting/data-sets</x:v>
      </x:c>
      <x:c r="N143" s="53" t="n">
        <x:v>46233</x:v>
      </x:c>
    </x:row>
    <x:row r="144">
      <x:c r="A144" s="48" t="str">
        <x:v>RAW-140</x:v>
      </x:c>
      <x:c r="B144" s="48" t="str">
        <x:v>GHGRP-1001312</x:v>
      </x:c>
      <x:c r="C144" s="50" t="str">
        <x:v>Rumford Power LLC - Rumford, ME</x:v>
      </x:c>
      <x:c r="D144" s="50" t="n">
        <x:v>1001312</x:v>
      </x:c>
      <x:c r="E144" s="50" t="str">
        <x:v>CARLYLE GROUP MANAGEMENT LLC</x:v>
      </x:c>
      <x:c r="F144" s="50" t="str">
        <x:v>Power Plants</x:v>
      </x:c>
      <x:c r="G144" s="48" t="str">
        <x:v>Rumford</x:v>
      </x:c>
      <x:c r="H144" s="48" t="str">
        <x:v>ME</x:v>
      </x:c>
      <x:c r="I144" s="48" t="str">
        <x:v>04276</x:v>
      </x:c>
      <x:c r="J144" s="52" t="n">
        <x:v>160818.104</x:v>
      </x:c>
      <x:c r="K144" s="48" t="str">
        <x:v>No</x:v>
      </x:c>
      <x:c r="L144" s="50" t="str"/>
      <x:c r="M144" s="50" t="str">
        <x:v>https://www.epa.gov/ghgreporting/data-sets</x:v>
      </x:c>
      <x:c r="N144" s="53" t="n">
        <x:v>46233</x:v>
      </x:c>
    </x:row>
    <x:row r="145">
      <x:c r="A145" s="48" t="str">
        <x:v>RAW-141</x:v>
      </x:c>
      <x:c r="B145" s="48" t="str">
        <x:v>GHGRP-1001281</x:v>
      </x:c>
      <x:c r="C145" s="50" t="str">
        <x:v>Pratt &amp; Whitney, East Hartford - East Hartford, CT</x:v>
      </x:c>
      <x:c r="D145" s="50" t="n">
        <x:v>1001281</x:v>
      </x:c>
      <x:c r="E145" s="50" t="str">
        <x:v>RTX CORP</x:v>
      </x:c>
      <x:c r="F145" s="50" t="str">
        <x:v>Power Plants</x:v>
      </x:c>
      <x:c r="G145" s="48" t="str">
        <x:v>East Hartford</x:v>
      </x:c>
      <x:c r="H145" s="48" t="str">
        <x:v>CT</x:v>
      </x:c>
      <x:c r="I145" s="48" t="str">
        <x:v>06108</x:v>
      </x:c>
      <x:c r="J145" s="52" t="n">
        <x:v>93595.396</x:v>
      </x:c>
      <x:c r="K145" s="48" t="str">
        <x:v>No</x:v>
      </x:c>
      <x:c r="L145" s="50" t="str"/>
      <x:c r="M145" s="50" t="str">
        <x:v>https://www.epa.gov/ghgreporting/data-sets</x:v>
      </x:c>
      <x:c r="N145" s="53" t="n">
        <x:v>46233</x:v>
      </x:c>
    </x:row>
    <x:row r="146">
      <x:c r="A146" s="48" t="str">
        <x:v>RAW-142</x:v>
      </x:c>
      <x:c r="B146" s="48" t="str">
        <x:v>GHGRP-1000069</x:v>
      </x:c>
      <x:c r="C146" s="50" t="str">
        <x:v>Wallingford Energy, LLC - Wallingford, CT</x:v>
      </x:c>
      <x:c r="D146" s="50" t="n">
        <x:v>1000069</x:v>
      </x:c>
      <x:c r="E146" s="50" t="str">
        <x:v>LS Power Development, LLC</x:v>
      </x:c>
      <x:c r="F146" s="50" t="str">
        <x:v>Power Plants</x:v>
      </x:c>
      <x:c r="G146" s="48" t="str">
        <x:v>Wallingford</x:v>
      </x:c>
      <x:c r="H146" s="48" t="str">
        <x:v>CT</x:v>
      </x:c>
      <x:c r="I146" s="48" t="str">
        <x:v>06460</x:v>
      </x:c>
      <x:c r="J146" s="52" t="n">
        <x:v>91363.26</x:v>
      </x:c>
      <x:c r="K146" s="48" t="str">
        <x:v>No</x:v>
      </x:c>
      <x:c r="L146" s="50" t="str"/>
      <x:c r="M146" s="50" t="str">
        <x:v>https://www.epa.gov/ghgreporting/data-sets</x:v>
      </x:c>
      <x:c r="N146" s="53" t="n">
        <x:v>46233</x:v>
      </x:c>
    </x:row>
    <x:row r="147">
      <x:c r="A147" s="48" t="str">
        <x:v>RAW-143</x:v>
      </x:c>
      <x:c r="B147" s="48" t="str">
        <x:v>GHGRP-1006409</x:v>
      </x:c>
      <x:c r="C147" s="50" t="str">
        <x:v>Algonquin Power Windsor Locks, LLC - Windsor Locks, CT</x:v>
      </x:c>
      <x:c r="D147" s="50" t="n">
        <x:v>1006409</x:v>
      </x:c>
      <x:c r="E147" s="50" t="str">
        <x:v>ALGONQUIN POWER WINDSOR LOCKS LLC</x:v>
      </x:c>
      <x:c r="F147" s="50" t="str">
        <x:v>Power Plants</x:v>
      </x:c>
      <x:c r="G147" s="48" t="str">
        <x:v>Windsor Locks</x:v>
      </x:c>
      <x:c r="H147" s="48" t="str">
        <x:v>CT</x:v>
      </x:c>
      <x:c r="I147" s="48" t="str">
        <x:v>06096</x:v>
      </x:c>
      <x:c r="J147" s="52" t="n">
        <x:v>87637.618</x:v>
      </x:c>
      <x:c r="K147" s="48" t="str">
        <x:v>No</x:v>
      </x:c>
      <x:c r="L147" s="50" t="str"/>
      <x:c r="M147" s="50" t="str">
        <x:v>https://www.epa.gov/ghgreporting/data-sets</x:v>
      </x:c>
      <x:c r="N147" s="53" t="n">
        <x:v>46233</x:v>
      </x:c>
    </x:row>
    <x:row r="148">
      <x:c r="A148" s="48" t="str">
        <x:v>RAW-144</x:v>
      </x:c>
      <x:c r="B148" s="48" t="str">
        <x:v>GHGRP-1001207</x:v>
      </x:c>
      <x:c r="C148" s="50" t="str">
        <x:v>Bellingham - Bellingham, MA</x:v>
      </x:c>
      <x:c r="D148" s="50" t="n">
        <x:v>1001207</x:v>
      </x:c>
      <x:c r="E148" s="50" t="str">
        <x:v>NEXTERA ENERGY INC</x:v>
      </x:c>
      <x:c r="F148" s="50" t="str">
        <x:v>Power Plants</x:v>
      </x:c>
      <x:c r="G148" s="48" t="str">
        <x:v>Bellingham</x:v>
      </x:c>
      <x:c r="H148" s="48" t="str">
        <x:v>MA</x:v>
      </x:c>
      <x:c r="I148" s="48" t="str">
        <x:v>02019</x:v>
      </x:c>
      <x:c r="J148" s="52" t="n">
        <x:v>47720.114</x:v>
      </x:c>
      <x:c r="K148" s="48" t="str">
        <x:v>No</x:v>
      </x:c>
      <x:c r="L148" s="50" t="str"/>
      <x:c r="M148" s="50" t="str">
        <x:v>https://www.epa.gov/ghgreporting/data-sets</x:v>
      </x:c>
      <x:c r="N148" s="53" t="n">
        <x:v>46233</x:v>
      </x:c>
    </x:row>
    <x:row r="149">
      <x:c r="A149" s="48" t="str">
        <x:v>RAW-145</x:v>
      </x:c>
      <x:c r="B149" s="48" t="str">
        <x:v>GHGRP-1000667</x:v>
      </x:c>
      <x:c r="C149" s="50" t="str">
        <x:v>Cleary Flood - Taunton, MA</x:v>
      </x:c>
      <x:c r="D149" s="50" t="n">
        <x:v>1000667</x:v>
      </x:c>
      <x:c r="E149" s="50" t="str">
        <x:v>TAUNTON MUNICIPAL LIGHTING PLANT</x:v>
      </x:c>
      <x:c r="F149" s="50" t="str">
        <x:v>Power Plants</x:v>
      </x:c>
      <x:c r="G149" s="48" t="str">
        <x:v>Taunton</x:v>
      </x:c>
      <x:c r="H149" s="48" t="str">
        <x:v>MA</x:v>
      </x:c>
      <x:c r="I149" s="48" t="str">
        <x:v>02780</x:v>
      </x:c>
      <x:c r="J149" s="52" t="n">
        <x:v>31764.358</x:v>
      </x:c>
      <x:c r="K149" s="48" t="str">
        <x:v>No</x:v>
      </x:c>
      <x:c r="L149" s="50" t="str"/>
      <x:c r="M149" s="50" t="str">
        <x:v>https://www.epa.gov/ghgreporting/data-sets</x:v>
      </x:c>
      <x:c r="N149" s="53" t="n">
        <x:v>46233</x:v>
      </x:c>
    </x:row>
    <x:row r="150">
      <x:c r="A150" s="48" t="str">
        <x:v>RAW-146</x:v>
      </x:c>
      <x:c r="B150" s="48" t="str">
        <x:v>GHGRP-1001298</x:v>
      </x:c>
      <x:c r="C150" s="50" t="str">
        <x:v>Berkshire Power - Agawam, MA</x:v>
      </x:c>
      <x:c r="D150" s="50" t="n">
        <x:v>1001298</x:v>
      </x:c>
      <x:c r="E150" s="50" t="str">
        <x:v>BERKSHIRE POWER CO</x:v>
      </x:c>
      <x:c r="F150" s="50" t="str">
        <x:v>Power Plants</x:v>
      </x:c>
      <x:c r="G150" s="48" t="str">
        <x:v>Agawam</x:v>
      </x:c>
      <x:c r="H150" s="48" t="str">
        <x:v>MA</x:v>
      </x:c>
      <x:c r="I150" s="48" t="str">
        <x:v>01001</x:v>
      </x:c>
      <x:c r="J150" s="52" t="n">
        <x:v>27806.744</x:v>
      </x:c>
      <x:c r="K150" s="48" t="str">
        <x:v>No</x:v>
      </x:c>
      <x:c r="L150" s="50" t="str"/>
      <x:c r="M150" s="50" t="str">
        <x:v>https://www.epa.gov/ghgreporting/data-sets</x:v>
      </x:c>
      <x:c r="N150" s="53" t="n">
        <x:v>46233</x:v>
      </x:c>
    </x:row>
    <x:row r="151">
      <x:c r="A151" s="48" t="str">
        <x:v>RAW-147</x:v>
      </x:c>
      <x:c r="B151" s="48" t="str">
        <x:v>GHGRP-1000665</x:v>
      </x:c>
      <x:c r="C151" s="50" t="str">
        <x:v>Potter - Braintree, MA</x:v>
      </x:c>
      <x:c r="D151" s="50" t="n">
        <x:v>1000665</x:v>
      </x:c>
      <x:c r="E151" s="50" t="str">
        <x:v>BRAINTREE ELECTRIC LIGHT DEPARTMENT</x:v>
      </x:c>
      <x:c r="F151" s="50" t="str">
        <x:v>Power Plants</x:v>
      </x:c>
      <x:c r="G151" s="48" t="str">
        <x:v>Braintree</x:v>
      </x:c>
      <x:c r="H151" s="48" t="str">
        <x:v>MA</x:v>
      </x:c>
      <x:c r="I151" s="48" t="str">
        <x:v>02184</x:v>
      </x:c>
      <x:c r="J151" s="52" t="n">
        <x:v>18346.996</x:v>
      </x:c>
      <x:c r="K151" s="48" t="str">
        <x:v>No</x:v>
      </x:c>
      <x:c r="L151" s="50" t="str"/>
      <x:c r="M151" s="50" t="str">
        <x:v>https://www.epa.gov/ghgreporting/data-sets</x:v>
      </x:c>
      <x:c r="N151" s="53" t="n">
        <x:v>46233</x:v>
      </x:c>
    </x:row>
    <x:row r="152">
      <x:c r="A152" s="48" t="str">
        <x:v>RAW-148</x:v>
      </x:c>
      <x:c r="B152" s="48" t="str">
        <x:v>GHGRP-1009167</x:v>
      </x:c>
      <x:c r="C152" s="50" t="str">
        <x:v>Dartmouth Power - Dartmouth, MA</x:v>
      </x:c>
      <x:c r="D152" s="50" t="n">
        <x:v>1009167</x:v>
      </x:c>
      <x:c r="E152" s="50" t="str">
        <x:v>SAPPHIRE POWER HOLDINGS LLC</x:v>
      </x:c>
      <x:c r="F152" s="50" t="str">
        <x:v>Power Plants</x:v>
      </x:c>
      <x:c r="G152" s="48" t="str">
        <x:v>Dartmouth</x:v>
      </x:c>
      <x:c r="H152" s="48" t="str">
        <x:v>MA</x:v>
      </x:c>
      <x:c r="I152" s="48" t="str">
        <x:v>02747</x:v>
      </x:c>
      <x:c r="J152" s="52" t="n">
        <x:v>17607.882</x:v>
      </x:c>
      <x:c r="K152" s="48" t="str">
        <x:v>No</x:v>
      </x:c>
      <x:c r="L152" s="50" t="str"/>
      <x:c r="M152" s="50" t="str">
        <x:v>https://www.epa.gov/ghgreporting/data-sets</x:v>
      </x:c>
      <x:c r="N152" s="53" t="n">
        <x:v>46233</x:v>
      </x:c>
    </x:row>
    <x:row r="153">
      <x:c r="A153" s="48" t="str">
        <x:v>RAW-149</x:v>
      </x:c>
      <x:c r="B153" s="48" t="str">
        <x:v>GHGRP-1001021</x:v>
      </x:c>
      <x:c r="C153" s="50" t="str">
        <x:v>Stony Brook - Ludlow, MA</x:v>
      </x:c>
      <x:c r="D153" s="50" t="n">
        <x:v>1001021</x:v>
      </x:c>
      <x:c r="E153" s="50" t="str">
        <x:v>MASSACHUSETTS MUNICIPAL WHOLESALE ELECTRIC CO</x:v>
      </x:c>
      <x:c r="F153" s="50" t="str">
        <x:v>Power Plants</x:v>
      </x:c>
      <x:c r="G153" s="48" t="str">
        <x:v>Ludlow</x:v>
      </x:c>
      <x:c r="H153" s="48" t="str">
        <x:v>MA</x:v>
      </x:c>
      <x:c r="I153" s="48" t="str">
        <x:v>01056</x:v>
      </x:c>
      <x:c r="J153" s="52" t="n">
        <x:v>17081.006</x:v>
      </x:c>
      <x:c r="K153" s="48" t="str">
        <x:v>No</x:v>
      </x:c>
      <x:c r="L153" s="50" t="str"/>
      <x:c r="M153" s="50" t="str">
        <x:v>https://www.epa.gov/ghgreporting/data-sets</x:v>
      </x:c>
      <x:c r="N153" s="53" t="n">
        <x:v>46233</x:v>
      </x:c>
    </x:row>
    <x:row r="154">
      <x:c r="A154" s="48" t="str">
        <x:v>RAW-150</x:v>
      </x:c>
      <x:c r="B154" s="48" t="str">
        <x:v>GHGRP-1005731</x:v>
      </x:c>
      <x:c r="C154" s="50" t="str">
        <x:v>Pittsfield Generating - Pittsfield, MA</x:v>
      </x:c>
      <x:c r="D154" s="50" t="n">
        <x:v>1005731</x:v>
      </x:c>
      <x:c r="E154" s="50" t="str">
        <x:v>PITTSFIELD GENERATING CO LP</x:v>
      </x:c>
      <x:c r="F154" s="50" t="str">
        <x:v>Power Plants</x:v>
      </x:c>
      <x:c r="G154" s="48" t="str">
        <x:v>Pittsfield</x:v>
      </x:c>
      <x:c r="H154" s="48" t="str">
        <x:v>MA</x:v>
      </x:c>
      <x:c r="I154" s="48" t="str">
        <x:v>01201</x:v>
      </x:c>
      <x:c r="J154" s="52" t="n">
        <x:v>10630.904</x:v>
      </x:c>
      <x:c r="K154" s="48" t="str">
        <x:v>No</x:v>
      </x:c>
      <x:c r="L154" s="50" t="str"/>
      <x:c r="M154" s="50" t="str">
        <x:v>https://www.epa.gov/ghgreporting/data-sets</x:v>
      </x:c>
      <x:c r="N154" s="53" t="n">
        <x:v>46233</x:v>
      </x:c>
    </x:row>
    <x:row r="155">
      <x:c r="A155" s="48" t="str">
        <x:v>RAW-151</x:v>
      </x:c>
      <x:c r="B155" s="48" t="str">
        <x:v>GHGRP-1001296</x:v>
      </x:c>
      <x:c r="C155" s="50" t="str">
        <x:v>JGT2 Cogen - Jay, ME</x:v>
      </x:c>
      <x:c r="D155" s="50" t="n">
        <x:v>1001296</x:v>
      </x:c>
      <x:c r="E155" s="50" t="str">
        <x:v>PIXELLE SPECIALTY SOLUTIONS LLC</x:v>
      </x:c>
      <x:c r="F155" s="50" t="str">
        <x:v>Power Plants</x:v>
      </x:c>
      <x:c r="G155" s="48" t="str">
        <x:v>Jay</x:v>
      </x:c>
      <x:c r="H155" s="48" t="str">
        <x:v>ME</x:v>
      </x:c>
      <x:c r="I155" s="48" t="str">
        <x:v>04239</x:v>
      </x:c>
      <x:c r="J155" s="52" t="n">
        <x:v>56678.95</x:v>
      </x:c>
      <x:c r="K155" s="48" t="str">
        <x:v>No</x:v>
      </x:c>
      <x:c r="L155" s="50" t="str"/>
      <x:c r="M155" s="50" t="str">
        <x:v>https://www.epa.gov/ghgreporting/data-sets</x:v>
      </x:c>
      <x:c r="N155" s="53" t="n">
        <x:v>46233</x:v>
      </x:c>
    </x:row>
    <x:row r="156">
      <x:c r="A156" s="48" t="str">
        <x:v>RAW-152</x:v>
      </x:c>
      <x:c r="B156" s="48" t="str">
        <x:v>GHGRP-1001615</x:v>
      </x:c>
      <x:c r="C156" s="50" t="str">
        <x:v>William F Wyman - Yarmouth, ME</x:v>
      </x:c>
      <x:c r="D156" s="50" t="n">
        <x:v>1001615</x:v>
      </x:c>
      <x:c r="E156" s="50" t="str">
        <x:v>NEXTERA ENERGY INC</x:v>
      </x:c>
      <x:c r="F156" s="50" t="str">
        <x:v>Power Plants</x:v>
      </x:c>
      <x:c r="G156" s="48" t="str">
        <x:v>Yarmouth</x:v>
      </x:c>
      <x:c r="H156" s="48" t="str">
        <x:v>ME</x:v>
      </x:c>
      <x:c r="I156" s="48" t="str">
        <x:v>04096</x:v>
      </x:c>
      <x:c r="J156" s="52" t="n">
        <x:v>52726.078</x:v>
      </x:c>
      <x:c r="K156" s="48" t="str">
        <x:v>No</x:v>
      </x:c>
      <x:c r="L156" s="50" t="str"/>
      <x:c r="M156" s="50" t="str">
        <x:v>https://www.epa.gov/ghgreporting/data-sets</x:v>
      </x:c>
      <x:c r="N156" s="53" t="n">
        <x:v>46233</x:v>
      </x:c>
    </x:row>
    <x:row r="157">
      <x:c r="A157" s="48" t="str">
        <x:v>RAW-153</x:v>
      </x:c>
      <x:c r="B157" s="48" t="str">
        <x:v>GHGRP-1001181</x:v>
      </x:c>
      <x:c r="C157" s="50" t="str">
        <x:v>Newington - Newington, NH</x:v>
      </x:c>
      <x:c r="D157" s="50" t="n">
        <x:v>1001181</x:v>
      </x:c>
      <x:c r="E157" s="50" t="str">
        <x:v>GRANITE SHORE POWER LLC</x:v>
      </x:c>
      <x:c r="F157" s="50" t="str">
        <x:v>Power Plants</x:v>
      </x:c>
      <x:c r="G157" s="48" t="str">
        <x:v>Newington</x:v>
      </x:c>
      <x:c r="H157" s="48" t="str">
        <x:v>NH</x:v>
      </x:c>
      <x:c r="I157" s="48" t="str">
        <x:v>03801</x:v>
      </x:c>
      <x:c r="J157" s="52" t="n">
        <x:v>48367.93</x:v>
      </x:c>
      <x:c r="K157" s="48" t="str">
        <x:v>No</x:v>
      </x:c>
      <x:c r="L157" s="50" t="str"/>
      <x:c r="M157" s="50" t="str">
        <x:v>https://www.epa.gov/ghgreporting/data-sets</x:v>
      </x:c>
      <x:c r="N157" s="53" t="n">
        <x:v>46233</x:v>
      </x:c>
    </x:row>
    <x:row r="158">
      <x:c r="A158" s="48" t="str">
        <x:v>RAW-154</x:v>
      </x:c>
      <x:c r="B158" s="48" t="str">
        <x:v>GHGRP-1010343</x:v>
      </x:c>
      <x:c r="C158" s="50" t="str">
        <x:v>Hartford Hospital Cogeneration Facility - Hartford, CT</x:v>
      </x:c>
      <x:c r="D158" s="50" t="n">
        <x:v>1010343</x:v>
      </x:c>
      <x:c r="E158" s="50" t="str">
        <x:v>CARTIER ENERGY LLC</x:v>
      </x:c>
      <x:c r="F158" s="50" t="str">
        <x:v>Power Plants</x:v>
      </x:c>
      <x:c r="G158" s="48" t="str">
        <x:v>Hartford</x:v>
      </x:c>
      <x:c r="H158" s="48" t="str">
        <x:v>CT</x:v>
      </x:c>
      <x:c r="I158" s="48" t="str">
        <x:v>06106</x:v>
      </x:c>
      <x:c r="J158" s="52" t="n">
        <x:v>39790.698</x:v>
      </x:c>
      <x:c r="K158" s="48" t="str">
        <x:v>No</x:v>
      </x:c>
      <x:c r="L158" s="50" t="str"/>
      <x:c r="M158" s="50" t="str">
        <x:v>https://www.epa.gov/ghgreporting/data-sets</x:v>
      </x:c>
      <x:c r="N158" s="53" t="n">
        <x:v>46233</x:v>
      </x:c>
    </x:row>
    <x:row r="159">
      <x:c r="A159" s="48" t="str">
        <x:v>RAW-155</x:v>
      </x:c>
      <x:c r="B159" s="48" t="str">
        <x:v>GHGRP-1001469</x:v>
      </x:c>
      <x:c r="C159" s="50" t="str">
        <x:v>Montville - Uncasville, CT</x:v>
      </x:c>
      <x:c r="D159" s="50" t="n">
        <x:v>1001469</x:v>
      </x:c>
      <x:c r="E159" s="50" t="str">
        <x:v>ARCLIGHT ENERGY PARTNERS FUND VII LP</x:v>
      </x:c>
      <x:c r="F159" s="50" t="str">
        <x:v>Power Plants</x:v>
      </x:c>
      <x:c r="G159" s="48" t="str">
        <x:v>Uncasville</x:v>
      </x:c>
      <x:c r="H159" s="48" t="str">
        <x:v>CT</x:v>
      </x:c>
      <x:c r="I159" s="48" t="str">
        <x:v>06382</x:v>
      </x:c>
      <x:c r="J159" s="52" t="n">
        <x:v>38782.476</x:v>
      </x:c>
      <x:c r="K159" s="48" t="str">
        <x:v>No</x:v>
      </x:c>
      <x:c r="L159" s="50" t="str"/>
      <x:c r="M159" s="50" t="str">
        <x:v>https://www.epa.gov/ghgreporting/data-sets</x:v>
      </x:c>
      <x:c r="N159" s="53" t="n">
        <x:v>46233</x:v>
      </x:c>
    </x:row>
    <x:row r="160">
      <x:c r="A160" s="48" t="str">
        <x:v>RAW-156</x:v>
      </x:c>
      <x:c r="B160" s="48" t="str">
        <x:v>GHGRP-1010109</x:v>
      </x:c>
      <x:c r="C160" s="50" t="str">
        <x:v>Hartford Steam - Columbus Plant - Hartford, CT</x:v>
      </x:c>
      <x:c r="D160" s="50" t="n">
        <x:v>1010109</x:v>
      </x:c>
      <x:c r="E160" s="50" t="str">
        <x:v>CARTIER ENERGY LLC</x:v>
      </x:c>
      <x:c r="F160" s="50" t="str">
        <x:v>Power Plants</x:v>
      </x:c>
      <x:c r="G160" s="48" t="str">
        <x:v>Hartford</x:v>
      </x:c>
      <x:c r="H160" s="48" t="str">
        <x:v>CT</x:v>
      </x:c>
      <x:c r="I160" s="48" t="str">
        <x:v>06103</x:v>
      </x:c>
      <x:c r="J160" s="52" t="n">
        <x:v>31798.18</x:v>
      </x:c>
      <x:c r="K160" s="48" t="str">
        <x:v>No</x:v>
      </x:c>
      <x:c r="L160" s="50" t="str"/>
      <x:c r="M160" s="50" t="str">
        <x:v>https://www.epa.gov/ghgreporting/data-sets</x:v>
      </x:c>
      <x:c r="N160" s="53" t="n">
        <x:v>46233</x:v>
      </x:c>
    </x:row>
    <x:row r="161">
      <x:c r="A161" s="48" t="str">
        <x:v>RAW-157</x:v>
      </x:c>
      <x:c r="B161" s="48" t="str">
        <x:v>GHGRP-1005996</x:v>
      </x:c>
      <x:c r="C161" s="50" t="str">
        <x:v>New Haven Harbor Station - New Haven, CT</x:v>
      </x:c>
      <x:c r="D161" s="50" t="n">
        <x:v>1005996</x:v>
      </x:c>
      <x:c r="E161" s="50" t="str">
        <x:v>ARCLIGHT ENERGY PARTNERS FUND VII LP</x:v>
      </x:c>
      <x:c r="F161" s="50" t="str">
        <x:v>Power Plants</x:v>
      </x:c>
      <x:c r="G161" s="48" t="str">
        <x:v>New Haven</x:v>
      </x:c>
      <x:c r="H161" s="48" t="str">
        <x:v>CT</x:v>
      </x:c>
      <x:c r="I161" s="48" t="str">
        <x:v>06512</x:v>
      </x:c>
      <x:c r="J161" s="52" t="n">
        <x:v>28840.559</x:v>
      </x:c>
      <x:c r="K161" s="48" t="str">
        <x:v>No</x:v>
      </x:c>
      <x:c r="L161" s="50" t="str"/>
      <x:c r="M161" s="50" t="str">
        <x:v>https://www.epa.gov/ghgreporting/data-sets</x:v>
      </x:c>
      <x:c r="N161" s="53" t="n">
        <x:v>46233</x:v>
      </x:c>
    </x:row>
    <x:row r="162">
      <x:c r="A162" s="48" t="str">
        <x:v>RAW-158</x:v>
      </x:c>
      <x:c r="B162" s="48" t="str">
        <x:v>GHGRP-1000538</x:v>
      </x:c>
      <x:c r="C162" s="50" t="str">
        <x:v>Waterbury Generation - Waterbury, CT</x:v>
      </x:c>
      <x:c r="D162" s="50" t="n">
        <x:v>1000538</x:v>
      </x:c>
      <x:c r="E162" s="50" t="str">
        <x:v>MPH WATERBURY LLC</x:v>
      </x:c>
      <x:c r="F162" s="50" t="str">
        <x:v>Power Plants</x:v>
      </x:c>
      <x:c r="G162" s="48" t="str">
        <x:v>Waterbury</x:v>
      </x:c>
      <x:c r="H162" s="48" t="str">
        <x:v>CT</x:v>
      </x:c>
      <x:c r="I162" s="48" t="str">
        <x:v>06708</x:v>
      </x:c>
      <x:c r="J162" s="52" t="n">
        <x:v>21363.17</x:v>
      </x:c>
      <x:c r="K162" s="48" t="str">
        <x:v>No</x:v>
      </x:c>
      <x:c r="L162" s="50" t="str"/>
      <x:c r="M162" s="50" t="str">
        <x:v>https://www.epa.gov/ghgreporting/data-sets</x:v>
      </x:c>
      <x:c r="N162" s="53" t="n">
        <x:v>46233</x:v>
      </x:c>
    </x:row>
    <x:row r="163">
      <x:c r="A163" s="48" t="str">
        <x:v>RAW-159</x:v>
      </x:c>
      <x:c r="B163" s="48" t="str">
        <x:v>GHGRP-1000730</x:v>
      </x:c>
      <x:c r="C163" s="50" t="str">
        <x:v>Schiller - Portsmouth, NH</x:v>
      </x:c>
      <x:c r="D163" s="50" t="n">
        <x:v>1000730</x:v>
      </x:c>
      <x:c r="E163" s="50" t="str">
        <x:v>GRANITE SHORE POWER LLC</x:v>
      </x:c>
      <x:c r="F163" s="50" t="str">
        <x:v>Power Plants</x:v>
      </x:c>
      <x:c r="G163" s="48" t="str">
        <x:v>Portsmouth</x:v>
      </x:c>
      <x:c r="H163" s="48" t="str">
        <x:v>NH</x:v>
      </x:c>
      <x:c r="I163" s="48" t="str">
        <x:v>03801</x:v>
      </x:c>
      <x:c r="J163" s="52" t="n">
        <x:v>687.738</x:v>
      </x:c>
      <x:c r="K163" s="48" t="str">
        <x:v>No</x:v>
      </x:c>
      <x:c r="L163" s="50" t="str"/>
      <x:c r="M163" s="50" t="str">
        <x:v>https://www.epa.gov/ghgreporting/data-sets</x:v>
      </x:c>
      <x:c r="N163" s="53" t="n">
        <x:v>46233</x:v>
      </x:c>
    </x:row>
    <x:row r="164">
      <x:c r="A164" s="48" t="str">
        <x:v>RAW-160</x:v>
      </x:c>
      <x:c r="B164" s="48" t="str">
        <x:v>GHGRP-1006174</x:v>
      </x:c>
      <x:c r="C164" s="50" t="str">
        <x:v>BUCKSPORT GENERATION LLC - Bucksport, ME</x:v>
      </x:c>
      <x:c r="D164" s="50" t="n">
        <x:v>1006174</x:v>
      </x:c>
      <x:c r="E164" s="50" t="str">
        <x:v>AIM Development USA LLC</x:v>
      </x:c>
      <x:c r="F164" s="50" t="str">
        <x:v>Power Plants</x:v>
      </x:c>
      <x:c r="G164" s="48" t="str">
        <x:v>Bucksport</x:v>
      </x:c>
      <x:c r="H164" s="48" t="str">
        <x:v>ME</x:v>
      </x:c>
      <x:c r="I164" s="48" t="str">
        <x:v>04416</x:v>
      </x:c>
      <x:c r="J164" s="52" t="n">
        <x:v>9333.708</x:v>
      </x:c>
      <x:c r="K164" s="48" t="str">
        <x:v>No</x:v>
      </x:c>
      <x:c r="L164" s="50" t="str"/>
      <x:c r="M164" s="50" t="str">
        <x:v>https://www.epa.gov/ghgreporting/data-sets</x:v>
      </x:c>
      <x:c r="N164" s="53" t="n">
        <x:v>46233</x:v>
      </x:c>
    </x:row>
    <x:row r="165">
      <x:c r="A165" s="48" t="str">
        <x:v>RAW-161</x:v>
      </x:c>
      <x:c r="B165" s="48" t="str">
        <x:v>GHGRP-1006366</x:v>
      </x:c>
      <x:c r="C165" s="50" t="str">
        <x:v>  nd paper inc - rumford division - rumford, me  </x:v>
      </x:c>
      <x:c r="D165" s="50" t="n">
        <x:v>1006366</x:v>
      </x:c>
      <x:c r="E165" s="50" t="str">
        <x:v>ND PAPER LLC</x:v>
      </x:c>
      <x:c r="F165" s="50" t="str">
        <x:v>Pulp and Paper</x:v>
      </x:c>
      <x:c r="G165" s="48" t="str">
        <x:v>Rumford</x:v>
      </x:c>
      <x:c r="H165" s="48" t="str">
        <x:v>ME</x:v>
      </x:c>
      <x:c r="I165" s="48" t="str">
        <x:v>04276</x:v>
      </x:c>
      <x:c r="J165" s="52" t="n">
        <x:v>416873.85</x:v>
      </x:c>
      <x:c r="K165" s="48" t="str">
        <x:v>Yes</x:v>
      </x:c>
      <x:c r="L165" s="50" t="str">
        <x:v>Synthetic CRM duplicate with casing/spacing variation</x:v>
      </x:c>
      <x:c r="M165" s="50" t="str">
        <x:v>https://www.epa.gov/ghgreporting/data-sets</x:v>
      </x:c>
      <x:c r="N165" s="53" t="n">
        <x:v>46233</x:v>
      </x:c>
    </x:row>
    <x:row r="166">
      <x:c r="A166" s="48" t="str">
        <x:v>RAW-162</x:v>
      </x:c>
      <x:c r="B166" s="48" t="str">
        <x:v>GHGRP-1000338</x:v>
      </x:c>
      <x:c r="C166" s="50" t="str">
        <x:v>  toray plastics (america), inc. - north kingstown, ri  </x:v>
      </x:c>
      <x:c r="D166" s="50" t="n">
        <x:v>1000338</x:v>
      </x:c>
      <x:c r="E166" s="50" t="str">
        <x:v>TORAY INDUSTRIES AMERICA INC</x:v>
      </x:c>
      <x:c r="F166" s="50" t="str">
        <x:v>Other</x:v>
      </x:c>
      <x:c r="G166" s="48" t="str">
        <x:v>North Kingstown</x:v>
      </x:c>
      <x:c r="H166" s="48" t="str">
        <x:v>RI</x:v>
      </x:c>
      <x:c r="I166" s="48" t="str">
        <x:v>02852</x:v>
      </x:c>
      <x:c r="J166" s="52" t="n">
        <x:v>95863.888</x:v>
      </x:c>
      <x:c r="K166" s="48" t="str">
        <x:v>Yes</x:v>
      </x:c>
      <x:c r="L166" s="50" t="str">
        <x:v>Synthetic CRM duplicate with casing/spacing variation</x:v>
      </x:c>
      <x:c r="M166" s="50" t="str">
        <x:v>https://www.epa.gov/ghgreporting/data-sets</x:v>
      </x:c>
      <x:c r="N166" s="53" t="n">
        <x:v>46233</x:v>
      </x:c>
    </x:row>
    <x:row r="167">
      <x:c r="A167" s="48" t="str">
        <x:v>RAW-163</x:v>
      </x:c>
      <x:c r="B167" s="48" t="str">
        <x:v>GHGRP-1005254</x:v>
      </x:c>
      <x:c r="C167" s="50" t="str">
        <x:v>  southbridge recycling &amp; disposal park - southbridge, ma  </x:v>
      </x:c>
      <x:c r="D167" s="50" t="n">
        <x:v>1005254</x:v>
      </x:c>
      <x:c r="E167" s="50" t="str">
        <x:v>CASELLA WASTE SYSTEMS INC</x:v>
      </x:c>
      <x:c r="F167" s="50" t="str">
        <x:v>Waste</x:v>
      </x:c>
      <x:c r="G167" s="48" t="str">
        <x:v>Southbridge</x:v>
      </x:c>
      <x:c r="H167" s="48" t="str">
        <x:v>MA</x:v>
      </x:c>
      <x:c r="I167" s="48" t="str">
        <x:v>01550</x:v>
      </x:c>
      <x:c r="J167" s="52" t="n">
        <x:v>4475.652</x:v>
      </x:c>
      <x:c r="K167" s="48" t="str">
        <x:v>Yes</x:v>
      </x:c>
      <x:c r="L167" s="50" t="str">
        <x:v>Synthetic CRM duplicate with casing/spacing variation</x:v>
      </x:c>
      <x:c r="M167" s="50" t="str">
        <x:v>https://www.epa.gov/ghgreporting/data-sets</x:v>
      </x:c>
      <x:c r="N167" s="53" t="n">
        <x:v>46233</x:v>
      </x:c>
    </x:row>
    <x:row r="168">
      <x:c r="A168" s="48" t="str">
        <x:v>RAW-164</x:v>
      </x:c>
      <x:c r="B168" s="48" t="str">
        <x:v>GHGRP-1013584</x:v>
      </x:c>
      <x:c r="C168" s="50" t="str">
        <x:v>  pioneer plastics corporation - auburn, me  </x:v>
      </x:c>
      <x:c r="D168" s="50" t="n">
        <x:v>1013584</x:v>
      </x:c>
      <x:c r="E168" s="50" t="str">
        <x:v>PANOLAM INDUSTRIES INTERNATIONAL INC</x:v>
      </x:c>
      <x:c r="F168" s="50" t="str">
        <x:v>Other</x:v>
      </x:c>
      <x:c r="G168" s="48" t="str">
        <x:v>Auburn</x:v>
      </x:c>
      <x:c r="H168" s="48" t="str">
        <x:v>ME</x:v>
      </x:c>
      <x:c r="I168" s="48" t="str">
        <x:v>04210</x:v>
      </x:c>
      <x:c r="J168" s="52" t="n">
        <x:v>22346.172</x:v>
      </x:c>
      <x:c r="K168" s="48" t="str">
        <x:v>Yes</x:v>
      </x:c>
      <x:c r="L168" s="50" t="str">
        <x:v>Synthetic CRM duplicate with casing/spacing variation</x:v>
      </x:c>
      <x:c r="M168" s="50" t="str">
        <x:v>https://www.epa.gov/ghgreporting/data-sets</x:v>
      </x:c>
      <x:c r="N168" s="53" t="n">
        <x:v>46233</x:v>
      </x:c>
    </x:row>
    <x:row r="169">
      <x:c r="A169" s="48" t="str">
        <x:v>RAW-165</x:v>
      </x:c>
      <x:c r="B169" s="48" t="str">
        <x:v>GHGRP-1001307</x:v>
      </x:c>
      <x:c r="C169" s="50" t="str">
        <x:v>  millennium power - charlton, ma  </x:v>
      </x:c>
      <x:c r="D169" s="50" t="n">
        <x:v>1001307</x:v>
      </x:c>
      <x:c r="E169" s="50" t="str">
        <x:v>MILLENNIUM POWER CO LLC</x:v>
      </x:c>
      <x:c r="F169" s="50" t="str">
        <x:v>Power Plants</x:v>
      </x:c>
      <x:c r="G169" s="48" t="str">
        <x:v>Charlton</x:v>
      </x:c>
      <x:c r="H169" s="48" t="str">
        <x:v>MA</x:v>
      </x:c>
      <x:c r="I169" s="48" t="str">
        <x:v>01507</x:v>
      </x:c>
      <x:c r="J169" s="52" t="n">
        <x:v>243807.696</x:v>
      </x:c>
      <x:c r="K169" s="48" t="str">
        <x:v>Yes</x:v>
      </x:c>
      <x:c r="L169" s="50" t="str">
        <x:v>Synthetic CRM duplicate with casing/spacing variation</x:v>
      </x:c>
      <x:c r="M169" s="50" t="str">
        <x:v>https://www.epa.gov/ghgreporting/data-sets</x:v>
      </x:c>
      <x:c r="N169" s="53" t="n">
        <x:v>46233</x:v>
      </x:c>
    </x:row>
  </x:sheetData>
  <x:mergeCells>
    <x:mergeCell ref="A1:N1"/>
    <x:mergeCell ref="A2:N2"/>
  </x:mergeCells>
  <x:conditionalFormatting sqref="K5:K169">
    <x:cfRule type="containsText" dxfId="3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5197cd44a0d745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7" hidden="0" customWidth="1"/>
    <x:col min="3" max="3" width="15" hidden="0" customWidth="1"/>
    <x:col min="4" max="4" width="48" hidden="0" customWidth="1"/>
    <x:col min="5" max="5" width="44" hidden="0" customWidth="1"/>
  </x:cols>
  <x:sheetData>
    <x:row r="1" ht="30" customHeight="1">
      <x:c r="A1" s="3" t="str">
        <x:v>Deduplication Log</x:v>
      </x:c>
      <x:c r="B1" s="3" t="str">
        <x:v>Deduplication Log</x:v>
      </x:c>
      <x:c r="C1" s="3" t="str">
        <x:v>Deduplication Log</x:v>
      </x:c>
      <x:c r="D1" s="3" t="str">
        <x:v>Deduplication Log</x:v>
      </x:c>
      <x:c r="E1" s="3" t="str">
        <x:v>Deduplication Log</x:v>
      </x:c>
    </x:row>
    <x:row r="2" ht="28" customHeight="1">
      <x:c r="A2" s="7" t="str">
        <x:v>Five synthetic CRM duplicate rows were removed using the stable EPA-derived External ID.</x:v>
      </x:c>
      <x:c r="B2" s="7" t="str">
        <x:v>Five synthetic CRM duplicate rows were removed using the stable EPA-derived External ID.</x:v>
      </x:c>
      <x:c r="C2" s="7" t="str">
        <x:v>Five synthetic CRM duplicate rows were removed using the stable EPA-derived External ID.</x:v>
      </x:c>
      <x:c r="D2" s="7" t="str">
        <x:v>Five synthetic CRM duplicate rows were removed using the stable EPA-derived External ID.</x:v>
      </x:c>
      <x:c r="E2" s="7" t="str">
        <x:v>Five synthetic CRM duplicate rows were removed using the stable EPA-derived External ID.</x:v>
      </x:c>
    </x:row>
    <x:row r="4" ht="32" customHeight="1">
      <x:c r="A4" s="13" t="str">
        <x:v>Action</x:v>
      </x:c>
      <x:c r="B4" s="13" t="str">
        <x:v>External ID</x:v>
      </x:c>
      <x:c r="C4" s="13" t="str">
        <x:v>EPA Facility ID</x:v>
      </x:c>
      <x:c r="D4" s="13" t="str">
        <x:v>Duplicate Account Value</x:v>
      </x:c>
      <x:c r="E4" s="13" t="str">
        <x:v>Scenario</x:v>
      </x:c>
    </x:row>
    <x:row r="5">
      <x:c r="A5" s="54" t="str">
        <x:v>Removed from cleaned prospect table using External_ID</x:v>
      </x:c>
      <x:c r="B5" s="54" t="str">
        <x:v>GHGRP-1006366</x:v>
      </x:c>
      <x:c r="C5" s="54" t="n">
        <x:v>1006366</x:v>
      </x:c>
      <x:c r="D5" s="54" t="str">
        <x:v>  nd paper inc - rumford division - rumford, me  </x:v>
      </x:c>
      <x:c r="E5" s="54" t="str">
        <x:v>Synthetic CRM duplicate with casing/spacing variation</x:v>
      </x:c>
    </x:row>
    <x:row r="6">
      <x:c r="A6" s="54" t="str">
        <x:v>Removed from cleaned prospect table using External_ID</x:v>
      </x:c>
      <x:c r="B6" s="54" t="str">
        <x:v>GHGRP-1000338</x:v>
      </x:c>
      <x:c r="C6" s="54" t="n">
        <x:v>1000338</x:v>
      </x:c>
      <x:c r="D6" s="54" t="str">
        <x:v>  toray plastics (america), inc. - north kingstown, ri  </x:v>
      </x:c>
      <x:c r="E6" s="54" t="str">
        <x:v>Synthetic CRM duplicate with casing/spacing variation</x:v>
      </x:c>
    </x:row>
    <x:row r="7">
      <x:c r="A7" s="54" t="str">
        <x:v>Removed from cleaned prospect table using External_ID</x:v>
      </x:c>
      <x:c r="B7" s="54" t="str">
        <x:v>GHGRP-1005254</x:v>
      </x:c>
      <x:c r="C7" s="54" t="n">
        <x:v>1005254</x:v>
      </x:c>
      <x:c r="D7" s="54" t="str">
        <x:v>  southbridge recycling &amp; disposal park - southbridge, ma  </x:v>
      </x:c>
      <x:c r="E7" s="54" t="str">
        <x:v>Synthetic CRM duplicate with casing/spacing variation</x:v>
      </x:c>
    </x:row>
    <x:row r="8">
      <x:c r="A8" s="54" t="str">
        <x:v>Removed from cleaned prospect table using External_ID</x:v>
      </x:c>
      <x:c r="B8" s="54" t="str">
        <x:v>GHGRP-1013584</x:v>
      </x:c>
      <x:c r="C8" s="54" t="n">
        <x:v>1013584</x:v>
      </x:c>
      <x:c r="D8" s="54" t="str">
        <x:v>  pioneer plastics corporation - auburn, me  </x:v>
      </x:c>
      <x:c r="E8" s="54" t="str">
        <x:v>Synthetic CRM duplicate with casing/spacing variation</x:v>
      </x:c>
    </x:row>
    <x:row r="9">
      <x:c r="A9" s="54" t="str">
        <x:v>Removed from cleaned prospect table using External_ID</x:v>
      </x:c>
      <x:c r="B9" s="54" t="str">
        <x:v>GHGRP-1001307</x:v>
      </x:c>
      <x:c r="C9" s="54" t="n">
        <x:v>1001307</x:v>
      </x:c>
      <x:c r="D9" s="54" t="str">
        <x:v>  millennium power - charlton, ma  </x:v>
      </x:c>
      <x:c r="E9" s="54" t="str">
        <x:v>Synthetic CRM duplicate with casing/spacing variation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de03985bbc24c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48" hidden="0" customWidth="1"/>
    <x:col min="4" max="4" width="36" hidden="0" customWidth="1"/>
    <x:col min="5" max="5" width="14" hidden="0" customWidth="1"/>
    <x:col min="6" max="6" width="14" hidden="0" customWidth="1"/>
    <x:col min="8" max="8" width="18" hidden="0" customWidth="1"/>
    <x:col min="9" max="9" width="12" hidden="0" customWidth="1"/>
    <x:col min="10" max="10" width="26" hidden="0" customWidth="1"/>
    <x:col min="12" max="12" width="18" hidden="0" customWidth="1"/>
    <x:col min="13" max="13" width="14" hidden="0" customWidth="1"/>
  </x:cols>
  <x:sheetData>
    <x:row r="1" ht="30" customHeight="1">
      <x:c r="A1" s="3" t="str">
        <x:v>Lead-Scoring Rules and Assumptions</x:v>
      </x:c>
      <x:c r="B1" s="3" t="str">
        <x:v>Lead-Scoring Rules and Assumptions</x:v>
      </x:c>
      <x:c r="C1" s="3" t="str">
        <x:v>Lead-Scoring Rules and Assumptions</x:v>
      </x:c>
      <x:c r="D1" s="3" t="str">
        <x:v>Lead-Scoring Rules and Assumptions</x:v>
      </x:c>
      <x:c r="E1" s="3" t="str">
        <x:v>Lead-Scoring Rules and Assumptions</x:v>
      </x:c>
      <x:c r="F1" s="3" t="str">
        <x:v>Lead-Scoring Rules and Assumptions</x:v>
      </x:c>
      <x:c r="G1" s="3" t="str">
        <x:v>Lead-Scoring Rules and Assumptions</x:v>
      </x:c>
      <x:c r="H1" s="3" t="str">
        <x:v>Lead-Scoring Rules and Assumptions</x:v>
      </x:c>
      <x:c r="I1" s="3" t="str">
        <x:v>Lead-Scoring Rules and Assumptions</x:v>
      </x:c>
      <x:c r="J1" s="3" t="str">
        <x:v>Lead-Scoring Rules and Assumptions</x:v>
      </x:c>
      <x:c r="K1" s="3" t="str">
        <x:v>Lead-Scoring Rules and Assumptions</x:v>
      </x:c>
      <x:c r="L1" s="3" t="str">
        <x:v>Lead-Scoring Rules and Assumptions</x:v>
      </x:c>
      <x:c r="M1" s="3" t="str">
        <x:v>Lead-Scoring Rules and Assumptions</x:v>
      </x:c>
    </x:row>
    <x:row r="2" ht="28" customHeight="1">
      <x:c r="A2" s="7" t="str">
        <x:v>Editable scoring rules are highlighted in yellow. Operational scale uses EPA-reported direct emissions as a proxy; it is not employee count or revenue.</x:v>
      </x:c>
      <x:c r="B2" s="7" t="str">
        <x:v>Editable scoring rules are highlighted in yellow. Operational scale uses EPA-reported direct emissions as a proxy; it is not employee count or revenue.</x:v>
      </x:c>
      <x:c r="C2" s="7" t="str">
        <x:v>Editable scoring rules are highlighted in yellow. Operational scale uses EPA-reported direct emissions as a proxy; it is not employee count or revenue.</x:v>
      </x:c>
      <x:c r="D2" s="7" t="str">
        <x:v>Editable scoring rules are highlighted in yellow. Operational scale uses EPA-reported direct emissions as a proxy; it is not employee count or revenue.</x:v>
      </x:c>
      <x:c r="E2" s="7" t="str">
        <x:v>Editable scoring rules are highlighted in yellow. Operational scale uses EPA-reported direct emissions as a proxy; it is not employee count or revenue.</x:v>
      </x:c>
      <x:c r="F2" s="7" t="str">
        <x:v>Editable scoring rules are highlighted in yellow. Operational scale uses EPA-reported direct emissions as a proxy; it is not employee count or revenue.</x:v>
      </x:c>
      <x:c r="G2" s="7" t="str">
        <x:v>Editable scoring rules are highlighted in yellow. Operational scale uses EPA-reported direct emissions as a proxy; it is not employee count or revenue.</x:v>
      </x:c>
      <x:c r="H2" s="7" t="str">
        <x:v>Editable scoring rules are highlighted in yellow. Operational scale uses EPA-reported direct emissions as a proxy; it is not employee count or revenue.</x:v>
      </x:c>
      <x:c r="I2" s="7" t="str">
        <x:v>Editable scoring rules are highlighted in yellow. Operational scale uses EPA-reported direct emissions as a proxy; it is not employee count or revenue.</x:v>
      </x:c>
      <x:c r="J2" s="7" t="str">
        <x:v>Editable scoring rules are highlighted in yellow. Operational scale uses EPA-reported direct emissions as a proxy; it is not employee count or revenue.</x:v>
      </x:c>
      <x:c r="K2" s="7" t="str">
        <x:v>Editable scoring rules are highlighted in yellow. Operational scale uses EPA-reported direct emissions as a proxy; it is not employee count or revenue.</x:v>
      </x:c>
      <x:c r="L2" s="7" t="str">
        <x:v>Editable scoring rules are highlighted in yellow. Operational scale uses EPA-reported direct emissions as a proxy; it is not employee count or revenue.</x:v>
      </x:c>
      <x:c r="M2" s="7" t="str">
        <x:v>Editable scoring rules are highlighted in yellow. Operational scale uses EPA-reported direct emissions as a proxy; it is not employee count or revenue.</x:v>
      </x:c>
    </x:row>
    <x:row r="4" ht="32" customHeight="1">
      <x:c r="A4" s="13" t="str">
        <x:v>State</x:v>
      </x:c>
      <x:c r="B4" s="13" t="str">
        <x:v>Geography Points</x:v>
      </x:c>
      <x:c r="D4" s="13" t="str">
        <x:v>Industry Sector</x:v>
      </x:c>
      <x:c r="E4" s="13" t="str">
        <x:v>Sector Fit Points</x:v>
      </x:c>
      <x:c r="F4" s="13" t="str">
        <x:v>Viability Points</x:v>
      </x:c>
      <x:c r="H4" s="13" t="str">
        <x:v>Minimum Emissions</x:v>
      </x:c>
      <x:c r="I4" s="13" t="str">
        <x:v>Scale Points</x:v>
      </x:c>
      <x:c r="J4" s="13" t="str">
        <x:v>Operational Scale Label</x:v>
      </x:c>
      <x:c r="L4" s="13" t="str">
        <x:v>Priority Rule</x:v>
      </x:c>
      <x:c r="M4" s="13" t="str">
        <x:v>Maximum Rank</x:v>
      </x:c>
    </x:row>
    <x:row r="5">
      <x:c r="A5" t="str">
        <x:v>MA</x:v>
      </x:c>
      <x:c r="B5" s="16" t="n">
        <x:v>20</x:v>
      </x:c>
      <x:c r="D5" t="str">
        <x:v>Chemicals</x:v>
      </x:c>
      <x:c r="E5" s="17" t="n">
        <x:v>28</x:v>
      </x:c>
      <x:c r="F5" s="17" t="n">
        <x:v>10</x:v>
      </x:c>
      <x:c r="H5" s="18" t="n">
        <x:v>0</x:v>
      </x:c>
      <x:c r="I5" s="17" t="n">
        <x:v>10</x:v>
      </x:c>
      <x:c r="J5" t="str">
        <x:v>Small Reporting Load</x:v>
      </x:c>
      <x:c r="L5" t="str">
        <x:v>High</x:v>
      </x:c>
      <x:c r="M5" s="17" t="n">
        <x:v>30</x:v>
      </x:c>
    </x:row>
    <x:row r="6">
      <x:c r="A6" t="str">
        <x:v>CT</x:v>
      </x:c>
      <x:c r="B6" s="16" t="n">
        <x:v>16</x:v>
      </x:c>
      <x:c r="D6" t="str">
        <x:v>Minerals</x:v>
      </x:c>
      <x:c r="E6" s="17" t="n">
        <x:v>26</x:v>
      </x:c>
      <x:c r="F6" s="17" t="n">
        <x:v>10</x:v>
      </x:c>
      <x:c r="H6" s="18" t="n">
        <x:v>50000</x:v>
      </x:c>
      <x:c r="I6" s="17" t="n">
        <x:v>15</x:v>
      </x:c>
      <x:c r="J6" t="str">
        <x:v>Mid Reporting Load</x:v>
      </x:c>
      <x:c r="L6" t="str">
        <x:v>Medium</x:v>
      </x:c>
      <x:c r="M6" s="17" t="n">
        <x:v>80</x:v>
      </x:c>
    </x:row>
    <x:row r="7">
      <x:c r="A7" t="str">
        <x:v>RI</x:v>
      </x:c>
      <x:c r="B7" s="16" t="n">
        <x:v>16</x:v>
      </x:c>
      <x:c r="D7" t="str">
        <x:v>Other</x:v>
      </x:c>
      <x:c r="E7" s="17" t="n">
        <x:v>22</x:v>
      </x:c>
      <x:c r="F7" s="17" t="n">
        <x:v>10</x:v>
      </x:c>
      <x:c r="H7" s="18" t="n">
        <x:v>100000</x:v>
      </x:c>
      <x:c r="I7" s="17" t="n">
        <x:v>20</x:v>
      </x:c>
      <x:c r="J7" t="str">
        <x:v>Large Reporting Load</x:v>
      </x:c>
    </x:row>
    <x:row r="8">
      <x:c r="A8" t="str">
        <x:v>NH</x:v>
      </x:c>
      <x:c r="B8" s="16" t="n">
        <x:v>16</x:v>
      </x:c>
      <x:c r="D8" t="str">
        <x:v>Other,Suppliers of CO2</x:v>
      </x:c>
      <x:c r="E8" s="17" t="n">
        <x:v>20</x:v>
      </x:c>
      <x:c r="F8" s="17" t="n">
        <x:v>8</x:v>
      </x:c>
      <x:c r="H8" s="18" t="n">
        <x:v>250000</x:v>
      </x:c>
      <x:c r="I8" s="17" t="n">
        <x:v>25</x:v>
      </x:c>
      <x:c r="J8" t="str">
        <x:v>Very Large Reporting Load</x:v>
      </x:c>
    </x:row>
    <x:row r="9">
      <x:c r="A9" t="str">
        <x:v>ME</x:v>
      </x:c>
      <x:c r="B9" s="16" t="n">
        <x:v>12</x:v>
      </x:c>
      <x:c r="D9" t="str">
        <x:v>Other,Waste</x:v>
      </x:c>
      <x:c r="E9" s="17" t="n">
        <x:v>21</x:v>
      </x:c>
      <x:c r="F9" s="17" t="n">
        <x:v>9</x:v>
      </x:c>
      <x:c r="H9" s="18" t="n">
        <x:v>500000</x:v>
      </x:c>
      <x:c r="I9" s="17" t="n">
        <x:v>30</x:v>
      </x:c>
      <x:c r="J9" t="str">
        <x:v>Enterprise Reporting Load</x:v>
      </x:c>
    </x:row>
    <x:row r="10">
      <x:c r="A10" t="str">
        <x:v>VT</x:v>
      </x:c>
      <x:c r="B10" s="16" t="n">
        <x:v>12</x:v>
      </x:c>
      <x:c r="D10" t="str">
        <x:v>Petroleum and Natural Gas Systems</x:v>
      </x:c>
      <x:c r="E10" s="17" t="n">
        <x:v>15</x:v>
      </x:c>
      <x:c r="F10" s="17" t="n">
        <x:v>7</x:v>
      </x:c>
    </x:row>
    <x:row r="11">
      <x:c r="D11" t="str">
        <x:v>Power Plants</x:v>
      </x:c>
      <x:c r="E11" s="17" t="n">
        <x:v>5</x:v>
      </x:c>
      <x:c r="F11" s="17" t="n">
        <x:v>0</x:v>
      </x:c>
    </x:row>
    <x:row r="12">
      <x:c r="D12" t="str">
        <x:v>Power Plants,Waste</x:v>
      </x:c>
      <x:c r="E12" s="17" t="n">
        <x:v>10</x:v>
      </x:c>
      <x:c r="F12" s="17" t="n">
        <x:v>3</x:v>
      </x:c>
    </x:row>
    <x:row r="13">
      <x:c r="D13" t="str">
        <x:v>Pulp and Paper</x:v>
      </x:c>
      <x:c r="E13" s="17" t="n">
        <x:v>30</x:v>
      </x:c>
      <x:c r="F13" s="17" t="n">
        <x:v>10</x:v>
      </x:c>
    </x:row>
    <x:row r="14">
      <x:c r="D14" t="str">
        <x:v>Pulp and Paper,Waste</x:v>
      </x:c>
      <x:c r="E14" s="17" t="n">
        <x:v>30</x:v>
      </x:c>
      <x:c r="F14" s="17" t="n">
        <x:v>10</x:v>
      </x:c>
    </x:row>
    <x:row r="15">
      <x:c r="D15" t="str">
        <x:v>Waste</x:v>
      </x:c>
      <x:c r="E15" s="17" t="n">
        <x:v>20</x:v>
      </x:c>
      <x:c r="F15" s="17" t="n">
        <x:v>9</x:v>
      </x:c>
    </x:row>
    <x:row r="18">
      <x:c r="A18" s="21" t="str">
        <x:v>Methodology and limitations</x:v>
      </x:c>
      <x:c r="B18" s="21" t="str">
        <x:v>Methodology and limitations</x:v>
      </x:c>
      <x:c r="C18" s="21" t="str">
        <x:v>Methodology and limitations</x:v>
      </x:c>
      <x:c r="D18" s="21" t="str">
        <x:v>Methodology and limitations</x:v>
      </x:c>
      <x:c r="E18" s="21" t="str">
        <x:v>Methodology and limitations</x:v>
      </x:c>
      <x:c r="F18" s="21" t="str">
        <x:v>Methodology and limitations</x:v>
      </x:c>
      <x:c r="G18" s="21" t="str">
        <x:v>Methodology and limitations</x:v>
      </x:c>
      <x:c r="H18" s="21" t="str">
        <x:v>Methodology and limitations</x:v>
      </x:c>
      <x:c r="I18" s="21" t="str">
        <x:v>Methodology and limitations</x:v>
      </x:c>
      <x:c r="J18" s="21" t="str">
        <x:v>Methodology and limitations</x:v>
      </x:c>
      <x:c r="K18" s="21" t="str">
        <x:v>Methodology and limitations</x:v>
      </x:c>
      <x:c r="L18" s="21" t="str">
        <x:v>Methodology and limitations</x:v>
      </x:c>
      <x:c r="M18" s="21" t="str">
        <x:v>Methodology and limitations</x:v>
      </x:c>
    </x:row>
    <x:row r="20" ht="32" customHeight="1">
      <x:c r="A20" s="13" t="str">
        <x:v>Component</x:v>
      </x:c>
      <x:c r="B20" s="13" t="str">
        <x:v>Maximum</x:v>
      </x:c>
      <x:c r="C20" s="13" t="str">
        <x:v>Interpretation</x:v>
      </x:c>
    </x:row>
    <x:row r="21">
      <x:c r="A21" t="str">
        <x:v>Geography</x:v>
      </x:c>
      <x:c r="B21" s="22" t="n">
        <x:v>20</x:v>
      </x:c>
      <x:c r="C21" t="str">
        <x:v>Closer alignment with the Woburn-based sales territory.</x:v>
      </x:c>
    </x:row>
    <x:row r="22">
      <x:c r="A22" t="str">
        <x:v>Sector Fit</x:v>
      </x:c>
      <x:c r="B22" s="22" t="n">
        <x:v>30</x:v>
      </x:c>
      <x:c r="C22" t="str">
        <x:v>Commercial/industrial load and buyer-role relevance.</x:v>
      </x:c>
    </x:row>
    <x:row r="23">
      <x:c r="A23" t="str">
        <x:v>Operational Scale</x:v>
      </x:c>
      <x:c r="B23" s="22" t="n">
        <x:v>30</x:v>
      </x:c>
      <x:c r="C23" t="str">
        <x:v>EPA direct-emissions band used only as a facility-scale proxy.</x:v>
      </x:c>
    </x:row>
    <x:row r="24">
      <x:c r="A24" t="str">
        <x:v>Data Quality</x:v>
      </x:c>
      <x:c r="B24" s="22" t="n">
        <x:v>10</x:v>
      </x:c>
      <x:c r="C24" t="str">
        <x:v>Completeness of parent, NAICS, location, role, and source ID.</x:v>
      </x:c>
    </x:row>
    <x:row r="25">
      <x:c r="A25" t="str">
        <x:v>Viability</x:v>
      </x:c>
      <x:c r="B25" s="22" t="n">
        <x:v>10</x:v>
      </x:c>
      <x:c r="C25" t="str">
        <x:v>Likelihood of being an end-customer rather than generation/market context.</x:v>
      </x:c>
    </x:row>
    <x:row r="28">
      <x:c r="A28" s="26" t="str">
        <x:v>Evidence standard</x:v>
      </x:c>
      <x:c r="B28" s="27" t="str">
        <x:v>Company/facility, industry, location, parent company, and source IDs come from EPA GHGRP 2023. Decision-maker fields identify target roles only.</x:v>
      </x:c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</x:row>
    <x:row r="29">
      <x:c r="A29" s="28" t="str">
        <x:v>Contact limitation</x:v>
      </x:c>
      <x:c r="B29" s="29" t="str">
        <x:v>No individual contact names, emails, or private data were invented. The top-30 contact research queue must be completed and verified separately.</x:v>
      </x:c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</x:row>
    <x:row r="30">
      <x:c r="A30" s="28" t="str">
        <x:v>Data source</x:v>
      </x:c>
      <x:c r="B30" s="29" t="str">
        <x:v>https://www.epa.gov/ghgreporting/data-sets</x:v>
      </x:c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</x:row>
    <x:row r="31">
      <x:c r="A31" s="28" t="str">
        <x:v>Source vintage</x:v>
      </x:c>
      <x:c r="B31" s="29" t="str">
        <x:v>EPA GHGRP 2023; facility data reported as of 2024-08-16. Project research date: 2026-07-30.</x:v>
      </x:c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</x:row>
    <x:row r="32">
      <x:c r="A32" s="30" t="str">
        <x:v>Resume claim</x:v>
      </x:c>
      <x:c r="B32" s="31" t="str">
        <x:v>Use Salesforce language only after completing an actual Developer Org import and documenting the import result.</x:v>
      </x:c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</x:row>
  </x:sheetData>
  <x:mergeCells>
    <x:mergeCell ref="A1:M1"/>
    <x:mergeCell ref="A2:M2"/>
    <x:mergeCell ref="A18:M18"/>
    <x:mergeCell ref="B28:M28"/>
    <x:mergeCell ref="B29:M29"/>
    <x:mergeCell ref="B30:M30"/>
    <x:mergeCell ref="B31:M31"/>
    <x:mergeCell ref="B32:M32"/>
  </x:mergeCells>
  <x:pageMargins left="0.7" right="0.7" top="0.75" bottom="0.75" header="0.3" footer="0.3"/>
  <x:legacyDrawing xmlns:r="http://schemas.openxmlformats.org/officeDocument/2006/relationships" r:id="R7a32d5ef336f40b1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2" hidden="0" customWidth="1"/>
    <x:col min="3" max="3" width="29" hidden="0" customWidth="1"/>
    <x:col min="4" max="4" width="19" hidden="0" customWidth="1"/>
    <x:col min="5" max="5" width="31" hidden="0" customWidth="1"/>
    <x:col min="6" max="6" width="35" hidden="0" customWidth="1"/>
    <x:col min="7" max="7" width="34" hidden="0" customWidth="1"/>
    <x:col min="8" max="8" width="16" hidden="0" customWidth="1"/>
  </x:cols>
  <x:sheetData>
    <x:row r="1" ht="30" customHeight="1">
      <x:c r="A1" s="3" t="str">
        <x:v>Salesforce CRM Field Map and Import Workflow</x:v>
      </x:c>
      <x:c r="B1" s="3" t="str">
        <x:v>Salesforce CRM Field Map and Import Workflow</x:v>
      </x:c>
      <x:c r="C1" s="3" t="str">
        <x:v>Salesforce CRM Field Map and Import Workflow</x:v>
      </x:c>
      <x:c r="D1" s="3" t="str">
        <x:v>Salesforce CRM Field Map and Import Workflow</x:v>
      </x:c>
      <x:c r="E1" s="3" t="str">
        <x:v>Salesforce CRM Field Map and Import Workflow</x:v>
      </x:c>
      <x:c r="F1" s="3" t="str">
        <x:v>Salesforce CRM Field Map and Import Workflow</x:v>
      </x:c>
      <x:c r="G1" s="3" t="str">
        <x:v>Salesforce CRM Field Map and Import Workflow</x:v>
      </x:c>
      <x:c r="H1" s="3" t="str">
        <x:v>Salesforce CRM Field Map and Import Workflow</x:v>
      </x:c>
    </x:row>
    <x:row r="2" ht="28" customHeight="1">
      <x:c r="A2" s="7" t="str">
        <x:v>Companion CSV files are prepared for a Salesforce Developer Org. Custom-field rows must be configured before import.</x:v>
      </x:c>
      <x:c r="B2" s="7" t="str">
        <x:v>Companion CSV files are prepared for a Salesforce Developer Org. Custom-field rows must be configured before import.</x:v>
      </x:c>
      <x:c r="C2" s="7" t="str">
        <x:v>Companion CSV files are prepared for a Salesforce Developer Org. Custom-field rows must be configured before import.</x:v>
      </x:c>
      <x:c r="D2" s="7" t="str">
        <x:v>Companion CSV files are prepared for a Salesforce Developer Org. Custom-field rows must be configured before import.</x:v>
      </x:c>
      <x:c r="E2" s="7" t="str">
        <x:v>Companion CSV files are prepared for a Salesforce Developer Org. Custom-field rows must be configured before import.</x:v>
      </x:c>
      <x:c r="F2" s="7" t="str">
        <x:v>Companion CSV files are prepared for a Salesforce Developer Org. Custom-field rows must be configured before import.</x:v>
      </x:c>
      <x:c r="G2" s="7" t="str">
        <x:v>Companion CSV files are prepared for a Salesforce Developer Org. Custom-field rows must be configured before import.</x:v>
      </x:c>
      <x:c r="H2" s="7" t="str">
        <x:v>Companion CSV files are prepared for a Salesforce Developer Org. Custom-field rows must be configured before import.</x:v>
      </x:c>
    </x:row>
    <x:row r="4" ht="32" customHeight="1">
      <x:c r="A4" s="13" t="str">
        <x:v>CSV Column</x:v>
      </x:c>
      <x:c r="B4" s="13" t="str">
        <x:v>Salesforce Object</x:v>
      </x:c>
      <x:c r="C4" s="13" t="str">
        <x:v>Salesforce Field</x:v>
      </x:c>
      <x:c r="D4" s="13" t="str">
        <x:v>Field Type</x:v>
      </x:c>
      <x:c r="E4" s="13" t="str">
        <x:v>Required Setup</x:v>
      </x:c>
      <x:c r="F4" s="13" t="str">
        <x:v>Match / Dedupe Use</x:v>
      </x:c>
      <x:c r="G4" s="13" t="str">
        <x:v>Example</x:v>
      </x:c>
      <x:c r="H4" s="13" t="str">
        <x:v>Status</x:v>
      </x:c>
    </x:row>
    <x:row r="5">
      <x:c r="A5" s="55" t="str">
        <x:v>GHGRP_Facility_ID__c</x:v>
      </x:c>
      <x:c r="B5" s="55" t="str">
        <x:v>Account</x:v>
      </x:c>
      <x:c r="C5" s="55" t="str">
        <x:v>GHGRP_Facility_ID__c</x:v>
      </x:c>
      <x:c r="D5" s="55" t="str">
        <x:v>Text / External ID</x:v>
      </x:c>
      <x:c r="E5" s="55" t="str">
        <x:v>Create custom unique External ID</x:v>
      </x:c>
      <x:c r="F5" s="55" t="str">
        <x:v>Primary upsert key</x:v>
      </x:c>
      <x:c r="G5" s="55" t="str">
        <x:v>GHGRP-1002915</x:v>
      </x:c>
      <x:c r="H5" s="55" t="str">
        <x:v>Configure</x:v>
      </x:c>
    </x:row>
    <x:row r="6">
      <x:c r="A6" s="55" t="str">
        <x:v>Account Name</x:v>
      </x:c>
      <x:c r="B6" s="55" t="str">
        <x:v>Account</x:v>
      </x:c>
      <x:c r="C6" s="55" t="str">
        <x:v>Name</x:v>
      </x:c>
      <x:c r="D6" s="55" t="str">
        <x:v>Standard text</x:v>
      </x:c>
      <x:c r="E6" s="55" t="str">
        <x:v>None</x:v>
      </x:c>
      <x:c r="F6" s="55" t="str">
        <x:v>Match with Account Site if not using External ID</x:v>
      </x:c>
      <x:c r="G6" s="55" t="str">
        <x:v>BIOGEN INC - Cambridge, MA</x:v>
      </x:c>
      <x:c r="H6" s="55" t="str">
        <x:v>Ready</x:v>
      </x:c>
    </x:row>
    <x:row r="7">
      <x:c r="A7" s="55" t="str">
        <x:v>Account Site</x:v>
      </x:c>
      <x:c r="B7" s="55" t="str">
        <x:v>Account</x:v>
      </x:c>
      <x:c r="C7" s="55" t="str">
        <x:v>Site</x:v>
      </x:c>
      <x:c r="D7" s="55" t="str">
        <x:v>Standard text</x:v>
      </x:c>
      <x:c r="E7" s="55" t="str">
        <x:v>None</x:v>
      </x:c>
      <x:c r="F7" s="55" t="str">
        <x:v>Distinguishes facility sites</x:v>
      </x:c>
      <x:c r="G7" s="55" t="str">
        <x:v>BIOGEN INC</x:v>
      </x:c>
      <x:c r="H7" s="55" t="str">
        <x:v>Ready</x:v>
      </x:c>
    </x:row>
    <x:row r="8">
      <x:c r="A8" s="55" t="str">
        <x:v>Parent_Company__c</x:v>
      </x:c>
      <x:c r="B8" s="55" t="str">
        <x:v>Account</x:v>
      </x:c>
      <x:c r="C8" s="55" t="str">
        <x:v>Parent_Company__c</x:v>
      </x:c>
      <x:c r="D8" s="55" t="str">
        <x:v>Custom text</x:v>
      </x:c>
      <x:c r="E8" s="55" t="str">
        <x:v>Create custom field</x:v>
      </x:c>
      <x:c r="F8" s="55" t="str">
        <x:v>Reference only; convert to ParentId later if desired</x:v>
      </x:c>
      <x:c r="G8" s="55" t="str">
        <x:v>BIOGEN INC</x:v>
      </x:c>
      <x:c r="H8" s="55" t="str">
        <x:v>Configure</x:v>
      </x:c>
    </x:row>
    <x:row r="9">
      <x:c r="A9" s="55" t="str">
        <x:v>Industry</x:v>
      </x:c>
      <x:c r="B9" s="55" t="str">
        <x:v>Account</x:v>
      </x:c>
      <x:c r="C9" s="55" t="str">
        <x:v>Industry</x:v>
      </x:c>
      <x:c r="D9" s="55" t="str">
        <x:v>Standard picklist</x:v>
      </x:c>
      <x:c r="E9" s="55" t="str">
        <x:v>Add/map EPA sector values</x:v>
      </x:c>
      <x:c r="F9" s="55" t="str">
        <x:v>Not a dedupe key</x:v>
      </x:c>
      <x:c r="G9" s="55" t="str">
        <x:v>Chemicals</x:v>
      </x:c>
      <x:c r="H9" s="55" t="str">
        <x:v>Map values</x:v>
      </x:c>
    </x:row>
    <x:row r="10">
      <x:c r="A10" s="55" t="str">
        <x:v>Billing Street</x:v>
      </x:c>
      <x:c r="B10" s="55" t="str">
        <x:v>Account</x:v>
      </x:c>
      <x:c r="C10" s="55" t="str">
        <x:v>BillingStreet</x:v>
      </x:c>
      <x:c r="D10" s="55" t="str">
        <x:v>Standard address</x:v>
      </x:c>
      <x:c r="E10" s="55" t="str">
        <x:v>None</x:v>
      </x:c>
      <x:c r="F10" s="55" t="str">
        <x:v>Location check</x:v>
      </x:c>
      <x:c r="G10" s="55" t="str">
        <x:v>225 Binney Street</x:v>
      </x:c>
      <x:c r="H10" s="55" t="str">
        <x:v>Ready</x:v>
      </x:c>
    </x:row>
    <x:row r="11">
      <x:c r="A11" s="55" t="str">
        <x:v>Billing City</x:v>
      </x:c>
      <x:c r="B11" s="55" t="str">
        <x:v>Account</x:v>
      </x:c>
      <x:c r="C11" s="55" t="str">
        <x:v>BillingCity</x:v>
      </x:c>
      <x:c r="D11" s="55" t="str">
        <x:v>Standard address</x:v>
      </x:c>
      <x:c r="E11" s="55" t="str">
        <x:v>None</x:v>
      </x:c>
      <x:c r="F11" s="55" t="str">
        <x:v>Location check</x:v>
      </x:c>
      <x:c r="G11" s="55" t="str">
        <x:v>Cambridge</x:v>
      </x:c>
      <x:c r="H11" s="55" t="str">
        <x:v>Ready</x:v>
      </x:c>
    </x:row>
    <x:row r="12">
      <x:c r="A12" s="55" t="str">
        <x:v>Billing State/Province</x:v>
      </x:c>
      <x:c r="B12" s="55" t="str">
        <x:v>Account</x:v>
      </x:c>
      <x:c r="C12" s="55" t="str">
        <x:v>BillingState</x:v>
      </x:c>
      <x:c r="D12" s="55" t="str">
        <x:v>Standard address</x:v>
      </x:c>
      <x:c r="E12" s="55" t="str">
        <x:v>None</x:v>
      </x:c>
      <x:c r="F12" s="55" t="str">
        <x:v>Territory assignment</x:v>
      </x:c>
      <x:c r="G12" s="55" t="str">
        <x:v>MA</x:v>
      </x:c>
      <x:c r="H12" s="55" t="str">
        <x:v>Ready</x:v>
      </x:c>
    </x:row>
    <x:row r="13">
      <x:c r="A13" s="55" t="str">
        <x:v>Billing Zip/Postal Code</x:v>
      </x:c>
      <x:c r="B13" s="55" t="str">
        <x:v>Account</x:v>
      </x:c>
      <x:c r="C13" s="55" t="str">
        <x:v>BillingPostalCode</x:v>
      </x:c>
      <x:c r="D13" s="55" t="str">
        <x:v>Standard address</x:v>
      </x:c>
      <x:c r="E13" s="55" t="str">
        <x:v>None</x:v>
      </x:c>
      <x:c r="F13" s="55" t="str">
        <x:v>Location check</x:v>
      </x:c>
      <x:c r="G13" s="55" t="str">
        <x:v>02142</x:v>
      </x:c>
      <x:c r="H13" s="55" t="str">
        <x:v>Ready</x:v>
      </x:c>
    </x:row>
    <x:row r="14">
      <x:c r="A14" s="55" t="str">
        <x:v>Target_Decision_Maker_Role__c</x:v>
      </x:c>
      <x:c r="B14" s="55" t="str">
        <x:v>Account</x:v>
      </x:c>
      <x:c r="C14" s="55" t="str">
        <x:v>Target_Decision_Maker_Role__c</x:v>
      </x:c>
      <x:c r="D14" s="55" t="str">
        <x:v>Custom text</x:v>
      </x:c>
      <x:c r="E14" s="55" t="str">
        <x:v>Create custom field</x:v>
      </x:c>
      <x:c r="F14" s="55" t="str">
        <x:v>Not a dedupe key</x:v>
      </x:c>
      <x:c r="G14" s="55" t="str">
        <x:v>Director of Facilities</x:v>
      </x:c>
      <x:c r="H14" s="55" t="str">
        <x:v>Configure</x:v>
      </x:c>
    </x:row>
    <x:row r="15">
      <x:c r="A15" s="55" t="str">
        <x:v>Campaign_Segment__c</x:v>
      </x:c>
      <x:c r="B15" s="55" t="str">
        <x:v>Account</x:v>
      </x:c>
      <x:c r="C15" s="55" t="str">
        <x:v>Campaign_Segment__c</x:v>
      </x:c>
      <x:c r="D15" s="55" t="str">
        <x:v>Custom picklist</x:v>
      </x:c>
      <x:c r="E15" s="55" t="str">
        <x:v>Create custom field and values</x:v>
      </x:c>
      <x:c r="F15" s="55" t="str">
        <x:v>Campaign filtering</x:v>
      </x:c>
      <x:c r="G15" s="55" t="str">
        <x:v>Industrial High-Load</x:v>
      </x:c>
      <x:c r="H15" s="55" t="str">
        <x:v>Configure</x:v>
      </x:c>
    </x:row>
    <x:row r="16">
      <x:c r="A16" s="55" t="str">
        <x:v>Rating</x:v>
      </x:c>
      <x:c r="B16" s="55" t="str">
        <x:v>Account</x:v>
      </x:c>
      <x:c r="C16" s="55" t="str">
        <x:v>Rating</x:v>
      </x:c>
      <x:c r="D16" s="55" t="str">
        <x:v>Standard picklist</x:v>
      </x:c>
      <x:c r="E16" s="55" t="str">
        <x:v>None</x:v>
      </x:c>
      <x:c r="F16" s="55" t="str">
        <x:v>Hot/Warm/Cold from lead priority</x:v>
      </x:c>
      <x:c r="G16" s="55" t="str">
        <x:v>Hot</x:v>
      </x:c>
      <x:c r="H16" s="55" t="str">
        <x:v>Ready</x:v>
      </x:c>
    </x:row>
    <x:row r="17">
      <x:c r="A17" s="55" t="str">
        <x:v>EPA_Facility_ID__c</x:v>
      </x:c>
      <x:c r="B17" s="55" t="str">
        <x:v>Account</x:v>
      </x:c>
      <x:c r="C17" s="55" t="str">
        <x:v>EPA_Facility_ID__c</x:v>
      </x:c>
      <x:c r="D17" s="55" t="str">
        <x:v>Custom number/text</x:v>
      </x:c>
      <x:c r="E17" s="55" t="str">
        <x:v>Optional if External ID field already stores it</x:v>
      </x:c>
      <x:c r="F17" s="55" t="str">
        <x:v>Audit trail</x:v>
      </x:c>
      <x:c r="G17" s="55" t="str">
        <x:v>1002915</x:v>
      </x:c>
      <x:c r="H17" s="55" t="str">
        <x:v>Optional</x:v>
      </x:c>
    </x:row>
    <x:row r="20">
      <x:c r="A20" s="21" t="str">
        <x:v>Recommended import sequence</x:v>
      </x:c>
      <x:c r="B20" s="21" t="str">
        <x:v>Recommended import sequence</x:v>
      </x:c>
      <x:c r="C20" s="21" t="str">
        <x:v>Recommended import sequence</x:v>
      </x:c>
      <x:c r="D20" s="21" t="str">
        <x:v>Recommended import sequence</x:v>
      </x:c>
      <x:c r="E20" s="21" t="str">
        <x:v>Recommended import sequence</x:v>
      </x:c>
      <x:c r="F20" s="21" t="str">
        <x:v>Recommended import sequence</x:v>
      </x:c>
      <x:c r="G20" s="21" t="str">
        <x:v>Recommended import sequence</x:v>
      </x:c>
      <x:c r="H20" s="21" t="str">
        <x:v>Recommended import sequence</x:v>
      </x:c>
    </x:row>
    <x:row r="22" ht="32" customHeight="1">
      <x:c r="A22" s="13" t="str">
        <x:v>Step</x:v>
      </x:c>
      <x:c r="B22" s="13" t="str">
        <x:v>Action</x:v>
      </x:c>
    </x:row>
    <x:row r="23" ht="46" customHeight="1">
      <x:c r="A23" s="56" t="n">
        <x:v>1</x:v>
      </x:c>
      <x:c r="B23" s="54" t="str">
        <x:v>Create the custom External ID and optional campaign/role fields in a Salesforce Developer Org.</x:v>
      </x:c>
    </x:row>
    <x:row r="24" ht="46" customHeight="1">
      <x:c r="A24" s="56" t="n">
        <x:v>2</x:v>
      </x:c>
      <x:c r="B24" s="54" t="str">
        <x:v>Test-import five rows from salesforce_accounts_import.csv; verify mappings and duplicate handling.</x:v>
      </x:c>
    </x:row>
    <x:row r="25" ht="46" customHeight="1">
      <x:c r="A25" s="56" t="n">
        <x:v>3</x:v>
      </x:c>
      <x:c r="B25" s="54" t="str">
        <x:v>Import all 160 Account rows using External ID matching or Account Name + Account Site.</x:v>
      </x:c>
    </x:row>
    <x:row r="26" ht="46" customHeight="1">
      <x:c r="A26" s="56" t="n">
        <x:v>4</x:v>
      </x:c>
      <x:c r="B26" s="54" t="str">
        <x:v>Export an Account report containing Salesforce Account IDs and External IDs.</x:v>
      </x:c>
    </x:row>
    <x:row r="27" ht="46" customHeight="1">
      <x:c r="A27" s="56" t="n">
        <x:v>5</x:v>
      </x:c>
      <x:c r="B27" s="54" t="str">
        <x:v>Populate Salesforce_Account_ID in the campaign assignment template, then add the 30 accounts to the campaign.</x:v>
      </x:c>
    </x:row>
    <x:row r="28" ht="46" customHeight="1">
      <x:c r="A28" s="56" t="n">
        <x:v>6</x:v>
      </x:c>
      <x:c r="B28" s="54" t="str">
        <x:v>Complete the separate contact research queue with verified public contacts before importing Contact records.</x:v>
      </x:c>
    </x:row>
  </x:sheetData>
  <x:mergeCells>
    <x:mergeCell ref="A1:H1"/>
    <x:mergeCell ref="A2:H2"/>
    <x:mergeCell ref="A20:H20"/>
  </x:mergeCells>
  <x:conditionalFormatting sqref="H5:H17">
    <x:cfRule type="containsText" dxfId="4" priority="1" operator="containsText" text="Ready"/>
    <x:cfRule type="containsText" dxfId="5" priority="2" operator="containsText" text="Configure"/>
  </x:conditionalFormatting>
  <x:pageMargins left="0.7" right="0.7" top="0.75" bottom="0.75" header="0.3" footer="0.3"/>
</x:worksheet>
</file>